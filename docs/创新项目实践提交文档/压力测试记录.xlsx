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chuangxinshijian\WHUSingularity\docs\提交文档\"/>
    </mc:Choice>
  </mc:AlternateContent>
  <xr:revisionPtr revIDLastSave="0" documentId="13_ncr:1_{B3CA35B5-182E-43E4-A033-01B6D205D5B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4" i="1" l="1"/>
  <c r="B53" i="1"/>
  <c r="B52" i="1"/>
  <c r="A54" i="1"/>
  <c r="A53" i="1"/>
  <c r="A52" i="1"/>
  <c r="B48" i="1"/>
  <c r="B47" i="1"/>
  <c r="B46" i="1"/>
  <c r="B45" i="1"/>
  <c r="A48" i="1"/>
  <c r="A47" i="1"/>
  <c r="A46" i="1"/>
  <c r="A45" i="1"/>
  <c r="J23" i="1"/>
  <c r="B3" i="1"/>
  <c r="C4" i="1"/>
  <c r="B67" i="1"/>
  <c r="B66" i="1"/>
  <c r="B65" i="1"/>
  <c r="B64" i="1"/>
  <c r="K33" i="1"/>
  <c r="J24" i="1"/>
  <c r="C24" i="1"/>
  <c r="D10" i="1"/>
  <c r="D9" i="1"/>
  <c r="A1" i="1"/>
  <c r="A2" i="1"/>
  <c r="B2" i="1"/>
  <c r="C2" i="1"/>
  <c r="D2" i="1"/>
  <c r="E2" i="1"/>
  <c r="F2" i="1"/>
  <c r="G2" i="1"/>
  <c r="H2" i="1"/>
  <c r="I2" i="1"/>
  <c r="J2" i="1"/>
  <c r="K2" i="1"/>
  <c r="L2" i="1"/>
  <c r="M2" i="1"/>
  <c r="A3" i="1"/>
  <c r="C3" i="1"/>
  <c r="D3" i="1"/>
  <c r="E3" i="1"/>
  <c r="F3" i="1"/>
  <c r="G3" i="1"/>
  <c r="H3" i="1"/>
  <c r="I3" i="1"/>
  <c r="J3" i="1"/>
  <c r="K3" i="1"/>
  <c r="L3" i="1"/>
  <c r="M3" i="1"/>
  <c r="D4" i="1"/>
  <c r="E4" i="1"/>
  <c r="F4" i="1"/>
  <c r="G4" i="1"/>
  <c r="H4" i="1"/>
  <c r="I4" i="1"/>
  <c r="J4" i="1"/>
  <c r="K4" i="1"/>
  <c r="L4" i="1"/>
  <c r="M4" i="1"/>
  <c r="A5" i="1"/>
  <c r="B5" i="1"/>
  <c r="C5" i="1"/>
  <c r="D5" i="1"/>
  <c r="E5" i="1"/>
  <c r="F5" i="1"/>
  <c r="G5" i="1"/>
  <c r="H5" i="1"/>
  <c r="I5" i="1"/>
  <c r="J5" i="1"/>
  <c r="K5" i="1"/>
  <c r="L5" i="1"/>
  <c r="M5" i="1"/>
  <c r="A6" i="1"/>
  <c r="B6" i="1"/>
  <c r="C6" i="1"/>
  <c r="D6" i="1"/>
  <c r="E6" i="1"/>
  <c r="F6" i="1"/>
  <c r="G6" i="1"/>
  <c r="H6" i="1"/>
  <c r="I6" i="1"/>
  <c r="J6" i="1"/>
  <c r="K6" i="1"/>
  <c r="L6" i="1"/>
  <c r="M6" i="1"/>
  <c r="A7" i="1"/>
  <c r="B7" i="1"/>
  <c r="C7" i="1"/>
  <c r="D7" i="1"/>
  <c r="E7" i="1"/>
  <c r="F7" i="1"/>
  <c r="G7" i="1"/>
  <c r="H7" i="1"/>
  <c r="I7" i="1"/>
  <c r="J7" i="1"/>
  <c r="K7" i="1"/>
  <c r="L7" i="1"/>
  <c r="M7" i="1"/>
  <c r="A8" i="1"/>
  <c r="B8" i="1"/>
  <c r="C8" i="1"/>
  <c r="D8" i="1"/>
  <c r="E8" i="1"/>
  <c r="F8" i="1"/>
  <c r="G8" i="1"/>
  <c r="H8" i="1"/>
  <c r="I8" i="1"/>
  <c r="J8" i="1"/>
  <c r="K8" i="1"/>
  <c r="L8" i="1"/>
  <c r="M8" i="1"/>
  <c r="A9" i="1"/>
  <c r="B9" i="1"/>
  <c r="C9" i="1"/>
  <c r="E9" i="1"/>
  <c r="F9" i="1"/>
  <c r="G9" i="1"/>
  <c r="H9" i="1"/>
  <c r="I9" i="1"/>
  <c r="J9" i="1"/>
  <c r="K9" i="1"/>
  <c r="L9" i="1"/>
  <c r="M9" i="1"/>
  <c r="A10" i="1"/>
  <c r="B10" i="1"/>
  <c r="C10" i="1"/>
  <c r="E10" i="1"/>
  <c r="F10" i="1"/>
  <c r="G10" i="1"/>
  <c r="H10" i="1"/>
  <c r="I10" i="1"/>
  <c r="J10" i="1"/>
  <c r="K10" i="1"/>
  <c r="L10" i="1"/>
  <c r="M10" i="1"/>
  <c r="A11" i="1"/>
  <c r="B11" i="1"/>
  <c r="C11" i="1"/>
  <c r="D11" i="1"/>
  <c r="E11" i="1"/>
  <c r="F11" i="1"/>
  <c r="G11" i="1"/>
  <c r="H11" i="1"/>
  <c r="I11" i="1"/>
  <c r="J11" i="1"/>
  <c r="K11" i="1"/>
  <c r="L11" i="1"/>
  <c r="M11" i="1"/>
  <c r="A12" i="1"/>
  <c r="B12" i="1"/>
  <c r="C12" i="1"/>
  <c r="D12" i="1"/>
  <c r="E12" i="1"/>
  <c r="F12" i="1"/>
  <c r="G12" i="1"/>
  <c r="H12" i="1"/>
  <c r="I12" i="1"/>
  <c r="J12" i="1"/>
  <c r="K12" i="1"/>
  <c r="L12" i="1"/>
  <c r="M12" i="1"/>
  <c r="A13" i="1"/>
  <c r="B13" i="1"/>
  <c r="C13" i="1"/>
  <c r="D13" i="1"/>
  <c r="E13" i="1"/>
  <c r="F13" i="1"/>
  <c r="G13" i="1"/>
  <c r="H13" i="1"/>
  <c r="I13" i="1"/>
  <c r="J13" i="1"/>
  <c r="K13" i="1"/>
  <c r="L13" i="1"/>
  <c r="M13" i="1"/>
  <c r="A14" i="1"/>
  <c r="B14" i="1"/>
  <c r="C14" i="1"/>
  <c r="D14" i="1"/>
  <c r="E14" i="1"/>
  <c r="F14" i="1"/>
  <c r="G14" i="1"/>
  <c r="H14" i="1"/>
  <c r="I14" i="1"/>
  <c r="J14" i="1"/>
  <c r="K14" i="1"/>
  <c r="L14" i="1"/>
  <c r="M14" i="1"/>
  <c r="A15" i="1"/>
  <c r="B15" i="1"/>
  <c r="C15" i="1"/>
  <c r="D15" i="1"/>
  <c r="E15" i="1"/>
  <c r="F15" i="1"/>
  <c r="G15" i="1"/>
  <c r="H15" i="1"/>
  <c r="I15" i="1"/>
  <c r="J15" i="1"/>
  <c r="K15" i="1"/>
  <c r="L15" i="1"/>
  <c r="M15" i="1"/>
  <c r="A16" i="1"/>
  <c r="B16" i="1"/>
  <c r="C16" i="1"/>
  <c r="D16" i="1"/>
  <c r="E16" i="1"/>
  <c r="F16" i="1"/>
  <c r="G16" i="1"/>
  <c r="H16" i="1"/>
  <c r="I16" i="1"/>
  <c r="J16" i="1"/>
  <c r="K16" i="1"/>
  <c r="L16" i="1"/>
  <c r="M16" i="1"/>
  <c r="A17" i="1"/>
  <c r="B17" i="1"/>
  <c r="C17" i="1"/>
  <c r="D17" i="1"/>
  <c r="E17" i="1"/>
  <c r="F17" i="1"/>
  <c r="G17" i="1"/>
  <c r="H17" i="1"/>
  <c r="I17" i="1"/>
  <c r="J17" i="1"/>
  <c r="K17" i="1"/>
  <c r="L17" i="1"/>
  <c r="M17" i="1"/>
  <c r="A18" i="1"/>
  <c r="B18" i="1"/>
  <c r="C18" i="1"/>
  <c r="D18" i="1"/>
  <c r="E18" i="1"/>
  <c r="F18" i="1"/>
  <c r="G18" i="1"/>
  <c r="H18" i="1"/>
  <c r="I18" i="1"/>
  <c r="J18" i="1"/>
  <c r="K18" i="1"/>
  <c r="L18" i="1"/>
  <c r="M18" i="1"/>
  <c r="A19" i="1"/>
  <c r="B19" i="1"/>
  <c r="C19" i="1"/>
  <c r="D19" i="1"/>
  <c r="E19" i="1"/>
  <c r="F19" i="1"/>
  <c r="G19" i="1"/>
  <c r="H19" i="1"/>
  <c r="I19" i="1"/>
  <c r="J19" i="1"/>
  <c r="K19" i="1"/>
  <c r="L19" i="1"/>
  <c r="M19" i="1"/>
  <c r="A20" i="1"/>
  <c r="B20" i="1"/>
  <c r="C20" i="1"/>
  <c r="D20" i="1"/>
  <c r="E20" i="1"/>
  <c r="F20" i="1"/>
  <c r="G20" i="1"/>
  <c r="H20" i="1"/>
  <c r="I20" i="1"/>
  <c r="J20" i="1"/>
  <c r="K20" i="1"/>
  <c r="L20" i="1"/>
  <c r="M20" i="1"/>
  <c r="A21" i="1"/>
  <c r="B21" i="1"/>
  <c r="C21" i="1"/>
  <c r="D21" i="1"/>
  <c r="E21" i="1"/>
  <c r="F21" i="1"/>
  <c r="G21" i="1"/>
  <c r="H21" i="1"/>
  <c r="I21" i="1"/>
  <c r="J21" i="1"/>
  <c r="K21" i="1"/>
  <c r="L21" i="1"/>
  <c r="M21" i="1"/>
  <c r="A22" i="1"/>
  <c r="B22" i="1"/>
  <c r="C22" i="1"/>
  <c r="D22" i="1"/>
  <c r="E22" i="1"/>
  <c r="F22" i="1"/>
  <c r="G22" i="1"/>
  <c r="H22" i="1"/>
  <c r="I22" i="1"/>
  <c r="J22" i="1"/>
  <c r="K22" i="1"/>
  <c r="L22" i="1"/>
  <c r="M22" i="1"/>
  <c r="A23" i="1"/>
  <c r="B23" i="1"/>
  <c r="C23" i="1"/>
  <c r="D23" i="1"/>
  <c r="E23" i="1"/>
  <c r="F23" i="1"/>
  <c r="G23" i="1"/>
  <c r="H23" i="1"/>
  <c r="I23" i="1"/>
  <c r="K23" i="1"/>
  <c r="L23" i="1"/>
  <c r="M23" i="1"/>
  <c r="A24" i="1"/>
  <c r="B24" i="1"/>
  <c r="D24" i="1"/>
  <c r="E24" i="1"/>
  <c r="F24" i="1"/>
  <c r="G24" i="1"/>
  <c r="H24" i="1"/>
  <c r="I24" i="1"/>
  <c r="K24" i="1"/>
  <c r="L24" i="1"/>
  <c r="M24" i="1"/>
  <c r="A25" i="1"/>
  <c r="B25" i="1"/>
  <c r="C25" i="1"/>
  <c r="D25" i="1"/>
  <c r="E25" i="1"/>
  <c r="F25" i="1"/>
  <c r="G25" i="1"/>
  <c r="H25" i="1"/>
  <c r="I25" i="1"/>
  <c r="J25" i="1"/>
  <c r="K25" i="1"/>
  <c r="L25" i="1"/>
  <c r="M25" i="1"/>
  <c r="A26" i="1"/>
  <c r="B26" i="1"/>
  <c r="C26" i="1"/>
  <c r="D26" i="1"/>
  <c r="E26" i="1"/>
  <c r="F26" i="1"/>
  <c r="G26" i="1"/>
  <c r="H26" i="1"/>
  <c r="I26" i="1"/>
  <c r="J26" i="1"/>
  <c r="K26" i="1"/>
  <c r="L26" i="1"/>
  <c r="M26" i="1"/>
  <c r="A27" i="1"/>
  <c r="B27" i="1"/>
  <c r="C27" i="1"/>
  <c r="D27" i="1"/>
  <c r="E27" i="1"/>
  <c r="F27" i="1"/>
  <c r="G27" i="1"/>
  <c r="H27" i="1"/>
  <c r="I27" i="1"/>
  <c r="J27" i="1"/>
  <c r="K27" i="1"/>
  <c r="L27" i="1"/>
  <c r="M27" i="1"/>
  <c r="A28" i="1"/>
  <c r="B28" i="1"/>
  <c r="C28" i="1"/>
  <c r="D28" i="1"/>
  <c r="E28" i="1"/>
  <c r="F28" i="1"/>
  <c r="G28" i="1"/>
  <c r="H28" i="1"/>
  <c r="I28" i="1"/>
  <c r="J28" i="1"/>
  <c r="K28" i="1"/>
  <c r="L28" i="1"/>
  <c r="M28" i="1"/>
  <c r="A29" i="1"/>
  <c r="B29" i="1"/>
  <c r="C29" i="1"/>
  <c r="D29" i="1"/>
  <c r="E29" i="1"/>
  <c r="F29" i="1"/>
  <c r="G29" i="1"/>
  <c r="H29" i="1"/>
  <c r="I29" i="1"/>
  <c r="J29" i="1"/>
  <c r="K29" i="1"/>
  <c r="L29" i="1"/>
  <c r="M29" i="1"/>
  <c r="A30" i="1"/>
  <c r="B30" i="1"/>
  <c r="C30" i="1"/>
  <c r="D30" i="1"/>
  <c r="E30" i="1"/>
  <c r="F30" i="1"/>
  <c r="G30" i="1"/>
  <c r="H30" i="1"/>
  <c r="I30" i="1"/>
  <c r="J30" i="1"/>
  <c r="K30" i="1"/>
  <c r="L30" i="1"/>
  <c r="M30" i="1"/>
  <c r="A31" i="1"/>
  <c r="B31" i="1"/>
  <c r="C31" i="1"/>
  <c r="D31" i="1"/>
  <c r="E31" i="1"/>
  <c r="F31" i="1"/>
  <c r="G31" i="1"/>
  <c r="H31" i="1"/>
  <c r="I31" i="1"/>
  <c r="J31" i="1"/>
  <c r="K31" i="1"/>
  <c r="L31" i="1"/>
  <c r="M31" i="1"/>
  <c r="A32" i="1"/>
  <c r="B32" i="1"/>
  <c r="C32" i="1"/>
  <c r="D32" i="1"/>
  <c r="E32" i="1"/>
  <c r="F32" i="1"/>
  <c r="G32" i="1"/>
  <c r="H32" i="1"/>
  <c r="I32" i="1"/>
  <c r="J32" i="1"/>
  <c r="K32" i="1"/>
  <c r="L32" i="1"/>
  <c r="M32" i="1"/>
  <c r="A33" i="1"/>
  <c r="B33" i="1"/>
  <c r="C33" i="1"/>
  <c r="D33" i="1"/>
  <c r="E33" i="1"/>
  <c r="F33" i="1"/>
  <c r="G33" i="1"/>
  <c r="H33" i="1"/>
  <c r="I33" i="1"/>
  <c r="J33" i="1"/>
  <c r="L33" i="1"/>
  <c r="M33" i="1"/>
  <c r="A34" i="1"/>
  <c r="B34" i="1"/>
  <c r="C34" i="1"/>
  <c r="D34" i="1"/>
  <c r="E34" i="1"/>
  <c r="F34" i="1"/>
  <c r="G34" i="1"/>
  <c r="H34" i="1"/>
  <c r="I34" i="1"/>
  <c r="J34" i="1"/>
  <c r="K34" i="1"/>
  <c r="L34" i="1"/>
  <c r="M34" i="1"/>
  <c r="A35" i="1"/>
  <c r="B35" i="1"/>
  <c r="C35" i="1"/>
  <c r="D35" i="1"/>
  <c r="E35" i="1"/>
  <c r="F35" i="1"/>
  <c r="G35" i="1"/>
  <c r="H35" i="1"/>
  <c r="I35" i="1"/>
  <c r="J35" i="1"/>
  <c r="K35" i="1"/>
  <c r="L35" i="1"/>
  <c r="M35" i="1"/>
  <c r="A36" i="1"/>
  <c r="B36" i="1"/>
  <c r="C36" i="1"/>
  <c r="D36" i="1"/>
  <c r="E36" i="1"/>
  <c r="F36" i="1"/>
  <c r="G36" i="1"/>
  <c r="H36" i="1"/>
  <c r="I36" i="1"/>
  <c r="J36" i="1"/>
  <c r="K36" i="1"/>
  <c r="L36" i="1"/>
  <c r="M36" i="1"/>
  <c r="A37" i="1"/>
  <c r="B37" i="1"/>
  <c r="C37" i="1"/>
  <c r="D37" i="1"/>
  <c r="E37" i="1"/>
  <c r="F37" i="1"/>
  <c r="G37" i="1"/>
  <c r="H37" i="1"/>
  <c r="I37" i="1"/>
  <c r="J37" i="1"/>
  <c r="K37" i="1"/>
  <c r="L37" i="1"/>
  <c r="M37" i="1"/>
  <c r="A38" i="1"/>
  <c r="B38" i="1"/>
  <c r="C38" i="1"/>
  <c r="D38" i="1"/>
  <c r="E38" i="1"/>
  <c r="F38" i="1"/>
  <c r="G38" i="1"/>
  <c r="H38" i="1"/>
  <c r="I38" i="1"/>
  <c r="J38" i="1"/>
  <c r="K38" i="1"/>
  <c r="L38" i="1"/>
  <c r="M38" i="1"/>
  <c r="A39" i="1"/>
  <c r="B39" i="1"/>
  <c r="C39" i="1"/>
  <c r="D39" i="1"/>
  <c r="E39" i="1"/>
  <c r="F39" i="1"/>
  <c r="G39" i="1"/>
  <c r="H39" i="1"/>
  <c r="I39" i="1"/>
  <c r="J39" i="1"/>
  <c r="K39" i="1"/>
  <c r="L39" i="1"/>
  <c r="M39" i="1"/>
  <c r="A40" i="1"/>
  <c r="B40" i="1"/>
  <c r="C40" i="1"/>
  <c r="D40" i="1"/>
  <c r="E40" i="1"/>
  <c r="F40" i="1"/>
  <c r="G40" i="1"/>
  <c r="H40" i="1"/>
  <c r="I40" i="1"/>
  <c r="J40" i="1"/>
  <c r="K40" i="1"/>
  <c r="L40" i="1"/>
  <c r="M40" i="1"/>
  <c r="A41" i="1"/>
  <c r="B41" i="1"/>
  <c r="C41" i="1"/>
  <c r="D41" i="1"/>
  <c r="E41" i="1"/>
  <c r="F41" i="1"/>
  <c r="G41" i="1"/>
  <c r="H41" i="1"/>
  <c r="I41" i="1"/>
  <c r="J41" i="1"/>
  <c r="K41" i="1"/>
  <c r="L41" i="1"/>
  <c r="M41" i="1"/>
  <c r="A42" i="1"/>
  <c r="B42" i="1"/>
  <c r="C42" i="1"/>
  <c r="D42" i="1"/>
  <c r="E42" i="1"/>
  <c r="F42" i="1"/>
  <c r="G42" i="1"/>
  <c r="H42" i="1"/>
  <c r="I42" i="1"/>
  <c r="J42" i="1"/>
  <c r="K42" i="1"/>
  <c r="L42" i="1"/>
  <c r="M42" i="1"/>
  <c r="A43" i="1"/>
  <c r="B43" i="1"/>
  <c r="C43" i="1"/>
  <c r="D43" i="1"/>
  <c r="E43" i="1"/>
  <c r="F43" i="1"/>
  <c r="G43" i="1"/>
  <c r="H43" i="1"/>
  <c r="I43" i="1"/>
  <c r="J43" i="1"/>
  <c r="K43" i="1"/>
  <c r="L43" i="1"/>
  <c r="M43" i="1"/>
  <c r="A44" i="1"/>
  <c r="B44" i="1"/>
  <c r="C44" i="1"/>
  <c r="D44" i="1"/>
  <c r="E44" i="1"/>
  <c r="F44" i="1"/>
  <c r="G44" i="1"/>
  <c r="H44" i="1"/>
  <c r="I44" i="1"/>
  <c r="J44" i="1"/>
  <c r="K44" i="1"/>
  <c r="L44" i="1"/>
  <c r="M44" i="1"/>
  <c r="C45" i="1"/>
  <c r="D45" i="1"/>
  <c r="E45" i="1"/>
  <c r="F45" i="1"/>
  <c r="G45" i="1"/>
  <c r="H45" i="1"/>
  <c r="I45" i="1"/>
  <c r="J45" i="1"/>
  <c r="K45" i="1"/>
  <c r="L45" i="1"/>
  <c r="M45" i="1"/>
  <c r="C46" i="1"/>
  <c r="D46" i="1"/>
  <c r="E46" i="1"/>
  <c r="F46" i="1"/>
  <c r="G46" i="1"/>
  <c r="H46" i="1"/>
  <c r="I46" i="1"/>
  <c r="J46" i="1"/>
  <c r="K46" i="1"/>
  <c r="L46" i="1"/>
  <c r="M46" i="1"/>
  <c r="C47" i="1"/>
  <c r="D47" i="1"/>
  <c r="E47" i="1"/>
  <c r="F47" i="1"/>
  <c r="G47" i="1"/>
  <c r="H47" i="1"/>
  <c r="I47" i="1"/>
  <c r="J47" i="1"/>
  <c r="K47" i="1"/>
  <c r="L47" i="1"/>
  <c r="M47" i="1"/>
  <c r="C48" i="1"/>
  <c r="D48" i="1"/>
  <c r="E48" i="1"/>
  <c r="F48" i="1"/>
  <c r="G48" i="1"/>
  <c r="H48" i="1"/>
  <c r="I48" i="1"/>
  <c r="J48" i="1"/>
  <c r="K48" i="1"/>
  <c r="L48" i="1"/>
  <c r="M48" i="1"/>
  <c r="A49" i="1"/>
  <c r="B49" i="1"/>
  <c r="C49" i="1"/>
  <c r="D49" i="1"/>
  <c r="E49" i="1"/>
  <c r="F49" i="1"/>
  <c r="G49" i="1"/>
  <c r="H49" i="1"/>
  <c r="I49" i="1"/>
  <c r="J49" i="1"/>
  <c r="K49" i="1"/>
  <c r="L49" i="1"/>
  <c r="M49" i="1"/>
  <c r="A50" i="1"/>
  <c r="B50" i="1"/>
  <c r="C50" i="1"/>
  <c r="D50" i="1"/>
  <c r="E50" i="1"/>
  <c r="F50" i="1"/>
  <c r="G50" i="1"/>
  <c r="H50" i="1"/>
  <c r="I50" i="1"/>
  <c r="J50" i="1"/>
  <c r="K50" i="1"/>
  <c r="L50" i="1"/>
  <c r="M50" i="1"/>
  <c r="A51" i="1"/>
  <c r="B51" i="1"/>
  <c r="C51" i="1"/>
  <c r="D51" i="1"/>
  <c r="E51" i="1"/>
  <c r="F51" i="1"/>
  <c r="G51" i="1"/>
  <c r="H51" i="1"/>
  <c r="I51" i="1"/>
  <c r="J51" i="1"/>
  <c r="K51" i="1"/>
  <c r="L51" i="1"/>
  <c r="M51" i="1"/>
  <c r="C52" i="1"/>
  <c r="D52" i="1"/>
  <c r="E52" i="1"/>
  <c r="F52" i="1"/>
  <c r="G52" i="1"/>
  <c r="H52" i="1"/>
  <c r="I52" i="1"/>
  <c r="J52" i="1"/>
  <c r="K52" i="1"/>
  <c r="L52" i="1"/>
  <c r="M52" i="1"/>
  <c r="C53" i="1"/>
  <c r="D53" i="1"/>
  <c r="E53" i="1"/>
  <c r="F53" i="1"/>
  <c r="G53" i="1"/>
  <c r="H53" i="1"/>
  <c r="I53" i="1"/>
  <c r="J53" i="1"/>
  <c r="K53" i="1"/>
  <c r="L53" i="1"/>
  <c r="M53" i="1"/>
  <c r="C54" i="1"/>
  <c r="D54" i="1"/>
  <c r="E54" i="1"/>
  <c r="F54" i="1"/>
  <c r="G54" i="1"/>
  <c r="H54" i="1"/>
  <c r="I54" i="1"/>
  <c r="J54" i="1"/>
  <c r="K54" i="1"/>
  <c r="L54" i="1"/>
  <c r="M54" i="1"/>
  <c r="A55" i="1"/>
  <c r="B55" i="1"/>
  <c r="C55" i="1"/>
  <c r="D55" i="1"/>
  <c r="E55" i="1"/>
  <c r="F55" i="1"/>
  <c r="G55" i="1"/>
  <c r="H55" i="1"/>
  <c r="I55" i="1"/>
  <c r="J55" i="1"/>
  <c r="K55" i="1"/>
  <c r="L55" i="1"/>
  <c r="M55" i="1"/>
  <c r="A56" i="1"/>
  <c r="B56" i="1"/>
  <c r="C56" i="1"/>
  <c r="D56" i="1"/>
  <c r="E56" i="1"/>
  <c r="F56" i="1"/>
  <c r="G56" i="1"/>
  <c r="H56" i="1"/>
  <c r="I56" i="1"/>
  <c r="J56" i="1"/>
  <c r="K56" i="1"/>
  <c r="L56" i="1"/>
  <c r="M56" i="1"/>
  <c r="A57" i="1"/>
  <c r="B57" i="1"/>
  <c r="C57" i="1"/>
  <c r="D57" i="1"/>
  <c r="E57" i="1"/>
  <c r="F57" i="1"/>
  <c r="G57" i="1"/>
  <c r="H57" i="1"/>
  <c r="I57" i="1"/>
  <c r="J57" i="1"/>
  <c r="K57" i="1"/>
  <c r="L57" i="1"/>
  <c r="M57" i="1"/>
  <c r="A58" i="1"/>
  <c r="C58" i="1"/>
  <c r="D58" i="1"/>
  <c r="E58" i="1"/>
  <c r="F58" i="1"/>
  <c r="G58" i="1"/>
  <c r="H58" i="1"/>
  <c r="I58" i="1"/>
  <c r="J58" i="1"/>
  <c r="K58" i="1"/>
  <c r="L58" i="1"/>
  <c r="M58" i="1"/>
  <c r="A59" i="1"/>
  <c r="B59" i="1"/>
  <c r="C59" i="1"/>
  <c r="D59" i="1"/>
  <c r="E59" i="1"/>
  <c r="F59" i="1"/>
  <c r="G59" i="1"/>
  <c r="H59" i="1"/>
  <c r="I59" i="1"/>
  <c r="J59" i="1"/>
  <c r="K59" i="1"/>
  <c r="L59" i="1"/>
  <c r="M59" i="1"/>
  <c r="A60" i="1"/>
  <c r="B60" i="1"/>
  <c r="C60" i="1"/>
  <c r="D60" i="1"/>
  <c r="E60" i="1"/>
  <c r="F60" i="1"/>
  <c r="G60" i="1"/>
  <c r="H60" i="1"/>
  <c r="I60" i="1"/>
  <c r="J60" i="1"/>
  <c r="K60" i="1"/>
  <c r="L60" i="1"/>
  <c r="M60" i="1"/>
  <c r="A61" i="1"/>
  <c r="B61" i="1"/>
  <c r="C61" i="1"/>
  <c r="D61" i="1"/>
  <c r="E61" i="1"/>
  <c r="F61" i="1"/>
  <c r="G61" i="1"/>
  <c r="H61" i="1"/>
  <c r="I61" i="1"/>
  <c r="J61" i="1"/>
  <c r="K61" i="1"/>
  <c r="L61" i="1"/>
  <c r="M61" i="1"/>
  <c r="A62" i="1"/>
  <c r="B62" i="1"/>
  <c r="C62" i="1"/>
  <c r="D62" i="1"/>
  <c r="E62" i="1"/>
  <c r="F62" i="1"/>
  <c r="G62" i="1"/>
  <c r="H62" i="1"/>
  <c r="I62" i="1"/>
  <c r="J62" i="1"/>
  <c r="K62" i="1"/>
  <c r="L62" i="1"/>
  <c r="M62" i="1"/>
  <c r="A63" i="1"/>
  <c r="B63" i="1"/>
  <c r="C63" i="1"/>
  <c r="D63" i="1"/>
  <c r="E63" i="1"/>
  <c r="F63" i="1"/>
  <c r="G63" i="1"/>
  <c r="H63" i="1"/>
  <c r="I63" i="1"/>
  <c r="J63" i="1"/>
  <c r="K63" i="1"/>
  <c r="L63" i="1"/>
  <c r="M63" i="1"/>
  <c r="A64" i="1"/>
  <c r="C64" i="1"/>
  <c r="D64" i="1"/>
  <c r="E64" i="1"/>
  <c r="F64" i="1"/>
  <c r="G64" i="1"/>
  <c r="H64" i="1"/>
  <c r="I64" i="1"/>
  <c r="J64" i="1"/>
  <c r="K64" i="1"/>
  <c r="L64" i="1"/>
  <c r="M64" i="1"/>
  <c r="A65" i="1"/>
  <c r="C65" i="1"/>
  <c r="D65" i="1"/>
  <c r="E65" i="1"/>
  <c r="F65" i="1"/>
  <c r="G65" i="1"/>
  <c r="H65" i="1"/>
  <c r="I65" i="1"/>
  <c r="J65" i="1"/>
  <c r="K65" i="1"/>
  <c r="L65" i="1"/>
  <c r="M65" i="1"/>
  <c r="A66" i="1"/>
  <c r="C66" i="1"/>
  <c r="D66" i="1"/>
  <c r="E66" i="1"/>
  <c r="F66" i="1"/>
  <c r="G66" i="1"/>
  <c r="H66" i="1"/>
  <c r="I66" i="1"/>
  <c r="J66" i="1"/>
  <c r="K66" i="1"/>
  <c r="L66" i="1"/>
  <c r="M66" i="1"/>
  <c r="A67" i="1"/>
  <c r="C67" i="1"/>
  <c r="D67" i="1"/>
  <c r="E67" i="1"/>
  <c r="F67" i="1"/>
  <c r="G67" i="1"/>
  <c r="H67" i="1"/>
  <c r="I67" i="1"/>
  <c r="J67" i="1"/>
  <c r="K67" i="1"/>
  <c r="L67" i="1"/>
  <c r="M67" i="1"/>
</calcChain>
</file>

<file path=xl/sharedStrings.xml><?xml version="1.0" encoding="utf-8"?>
<sst xmlns="http://schemas.openxmlformats.org/spreadsheetml/2006/main" count="2" uniqueCount="2">
  <si>
    <t>="`.\refill-stock-buckets.ps1` 后 `.\run-k6-order-gateway-fraud-ramp.ps1 -RpsRamp "1500,2000,2500" -StepSec 120`"</t>
  </si>
  <si>
    <t>（本表数据均出自 k6 汇总 JSON、终端日志与 Prometheus 导出）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</si>
</sst>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8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vertical="center" wrapText="1"/>
    </xf>
    <xf numFmtId="0" fontId="0" fillId="0" borderId="3" xfId="0" applyBorder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81"/>
  <sheetViews>
    <sheetView tabSelected="1" zoomScale="96" zoomScaleNormal="96" workbookViewId="0">
      <selection activeCell="B52" sqref="B52"/>
    </sheetView>
  </sheetViews>
  <sheetFormatPr defaultRowHeight="15" x14ac:dyDescent="0.25"/>
  <cols>
    <col min="1" max="1" width="10.83203125" customWidth="1"/>
    <col min="2" max="2" width="138.83203125" customWidth="1"/>
    <col min="3" max="3" width="64.83203125" customWidth="1"/>
    <col min="4" max="4" width="61.83203125" customWidth="1"/>
    <col min="5" max="5" width="64.83203125" customWidth="1"/>
    <col min="6" max="6" width="37.83203125" customWidth="1"/>
    <col min="7" max="7" width="22.83203125" customWidth="1"/>
    <col min="8" max="8" width="10.83203125" customWidth="1"/>
    <col min="9" max="9" width="13.83203125" customWidth="1"/>
    <col min="10" max="10" width="15.83203125" customWidth="1"/>
    <col min="11" max="11" width="35.83203125" customWidth="1"/>
    <col min="12" max="12" width="10.83203125" customWidth="1"/>
    <col min="13" max="13" width="54.83203125" customWidth="1"/>
  </cols>
  <sheetData>
    <row r="1" spans="1:13" ht="23" x14ac:dyDescent="0.4">
      <c r="A1" s="10" t="str">
        <f>"压力测试记录"</f>
        <v>压力测试记录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x14ac:dyDescent="0.25">
      <c r="A2" s="1" t="str">
        <f>"项目名称"</f>
        <v>项目名称</v>
      </c>
      <c r="B2" s="2" t="str">
        <f>"WHUSingularity 高并发抢单系统"</f>
        <v>WHUSingularity 高并发抢单系统</v>
      </c>
      <c r="C2" s="3" t="str">
        <f>""</f>
        <v/>
      </c>
      <c r="D2" s="4" t="str">
        <f>""</f>
        <v/>
      </c>
      <c r="E2" s="4" t="str">
        <f>""</f>
        <v/>
      </c>
      <c r="F2" s="4" t="str">
        <f>""</f>
        <v/>
      </c>
      <c r="G2" s="4" t="str">
        <f>""</f>
        <v/>
      </c>
      <c r="H2" s="4" t="str">
        <f>""</f>
        <v/>
      </c>
      <c r="I2" s="4" t="str">
        <f>""</f>
        <v/>
      </c>
      <c r="J2" s="4" t="str">
        <f>""</f>
        <v/>
      </c>
      <c r="K2" s="9" t="str">
        <f>""</f>
        <v/>
      </c>
      <c r="L2" s="1" t="str">
        <f>""</f>
        <v/>
      </c>
      <c r="M2" s="2" t="str">
        <f>""</f>
        <v/>
      </c>
    </row>
    <row r="3" spans="1:13" x14ac:dyDescent="0.25">
      <c r="A3" s="1" t="str">
        <f>"测试负责人"</f>
        <v>测试负责人</v>
      </c>
      <c r="B3" s="2" t="str">
        <f>"马之涵"</f>
        <v>马之涵</v>
      </c>
      <c r="C3" t="str">
        <f>""</f>
        <v/>
      </c>
      <c r="D3" s="5" t="str">
        <f>"更新日期"</f>
        <v>更新日期</v>
      </c>
      <c r="E3" s="3" t="str">
        <f>"2026-05-27"</f>
        <v>2026-05-27</v>
      </c>
      <c r="F3" s="4" t="str">
        <f>""</f>
        <v/>
      </c>
      <c r="G3" s="9" t="str">
        <f>""</f>
        <v/>
      </c>
      <c r="H3" s="5" t="str">
        <f>""</f>
        <v/>
      </c>
      <c r="I3" s="3" t="str">
        <f>""</f>
        <v/>
      </c>
      <c r="J3" s="4" t="str">
        <f>""</f>
        <v/>
      </c>
      <c r="K3" s="9" t="str">
        <f>""</f>
        <v/>
      </c>
      <c r="L3" s="1" t="str">
        <f>""</f>
        <v/>
      </c>
      <c r="M3" s="2" t="str">
        <f>""</f>
        <v/>
      </c>
    </row>
    <row r="4" spans="1:13" x14ac:dyDescent="0.25">
      <c r="A4" s="6"/>
      <c r="B4" s="5" t="s">
        <v>1</v>
      </c>
      <c r="C4" s="5" t="str">
        <f>"本记录选取开发阶段中比较有代表性的部分，但不代表只进行了这么多的测试"</f>
        <v>本记录选取开发阶段中比较有代表性的部分，但不代表只进行了这么多的测试</v>
      </c>
      <c r="D4" s="5" t="str">
        <f>""</f>
        <v/>
      </c>
      <c r="E4" s="5" t="str">
        <f>""</f>
        <v/>
      </c>
      <c r="F4" s="5" t="str">
        <f>""</f>
        <v/>
      </c>
      <c r="G4" s="5" t="str">
        <f>""</f>
        <v/>
      </c>
      <c r="H4" s="5" t="str">
        <f>""</f>
        <v/>
      </c>
      <c r="I4" s="5" t="str">
        <f>""</f>
        <v/>
      </c>
      <c r="J4" s="5" t="str">
        <f>""</f>
        <v/>
      </c>
      <c r="K4" s="5" t="str">
        <f>""</f>
        <v/>
      </c>
      <c r="L4" s="6" t="str">
        <f>""</f>
        <v/>
      </c>
      <c r="M4" s="5" t="str">
        <f>""</f>
        <v/>
      </c>
    </row>
    <row r="5" spans="1:13" ht="15" customHeight="1" x14ac:dyDescent="0.25">
      <c r="A5" s="7" t="str">
        <f>"关联文档"</f>
        <v>关联文档</v>
      </c>
      <c r="B5" s="8" t="str">
        <f>"`docs/monitor/gateway-fraud-ramp-test-report-2026-05-24.md`（含 Scaler 伸缩时间线）；`docs/monitor/order-weakest-link-evidence-2026-05-24.md`（瓶颈证据）"</f>
        <v>`docs/monitor/gateway-fraud-ramp-test-report-2026-05-24.md`（含 Scaler 伸缩时间线）；`docs/monitor/order-weakest-link-evidence-2026-05-24.md`（瓶颈证据）</v>
      </c>
      <c r="C5" s="8" t="str">
        <f>""</f>
        <v/>
      </c>
      <c r="D5" s="8" t="str">
        <f>""</f>
        <v/>
      </c>
      <c r="E5" s="8" t="str">
        <f>""</f>
        <v/>
      </c>
      <c r="F5" s="8" t="str">
        <f>""</f>
        <v/>
      </c>
      <c r="G5" s="8" t="str">
        <f>""</f>
        <v/>
      </c>
      <c r="H5" s="8" t="str">
        <f>""</f>
        <v/>
      </c>
      <c r="I5" s="7" t="str">
        <f>""</f>
        <v/>
      </c>
      <c r="J5" s="8" t="str">
        <f>""</f>
        <v/>
      </c>
      <c r="K5" s="7" t="str">
        <f>""</f>
        <v/>
      </c>
      <c r="L5" s="7" t="str">
        <f>""</f>
        <v/>
      </c>
      <c r="M5" s="8" t="str">
        <f>""</f>
        <v/>
      </c>
    </row>
    <row r="6" spans="1:13" x14ac:dyDescent="0.25">
      <c r="A6" s="7" t="str">
        <f>""</f>
        <v/>
      </c>
      <c r="B6" s="8" t="str">
        <f>""</f>
        <v/>
      </c>
      <c r="C6" s="8" t="str">
        <f>""</f>
        <v/>
      </c>
      <c r="D6" s="8" t="str">
        <f>""</f>
        <v/>
      </c>
      <c r="E6" s="8" t="str">
        <f>""</f>
        <v/>
      </c>
      <c r="F6" s="8" t="str">
        <f>""</f>
        <v/>
      </c>
      <c r="G6" s="8" t="str">
        <f>""</f>
        <v/>
      </c>
      <c r="H6" s="8" t="str">
        <f>""</f>
        <v/>
      </c>
      <c r="I6" s="7" t="str">
        <f>""</f>
        <v/>
      </c>
      <c r="J6" s="8" t="str">
        <f>""</f>
        <v/>
      </c>
      <c r="K6" s="7" t="str">
        <f>""</f>
        <v/>
      </c>
      <c r="L6" s="7" t="str">
        <f>""</f>
        <v/>
      </c>
      <c r="M6" s="8" t="str">
        <f>""</f>
        <v/>
      </c>
    </row>
    <row r="7" spans="1:13" x14ac:dyDescent="0.25">
      <c r="A7" s="7" t="str">
        <f>"序号"</f>
        <v>序号</v>
      </c>
      <c r="B7" s="8" t="str">
        <f>"原始文件名"</f>
        <v>原始文件名</v>
      </c>
      <c r="C7" s="8" t="str">
        <f>"类型"</f>
        <v>类型</v>
      </c>
      <c r="D7" s="8" t="str">
        <f>"说明"</f>
        <v>说明</v>
      </c>
      <c r="E7" s="8" t="str">
        <f>""</f>
        <v/>
      </c>
      <c r="F7" s="8" t="str">
        <f>""</f>
        <v/>
      </c>
      <c r="G7" s="8" t="str">
        <f>""</f>
        <v/>
      </c>
      <c r="H7" s="8" t="str">
        <f>""</f>
        <v/>
      </c>
      <c r="I7" s="7" t="str">
        <f>""</f>
        <v/>
      </c>
      <c r="J7" s="8" t="str">
        <f>""</f>
        <v/>
      </c>
      <c r="K7" s="7" t="str">
        <f>""</f>
        <v/>
      </c>
      <c r="L7" s="7" t="str">
        <f>""</f>
        <v/>
      </c>
      <c r="M7" s="8" t="str">
        <f>""</f>
        <v/>
      </c>
    </row>
    <row r="8" spans="1:13" x14ac:dyDescent="0.25">
      <c r="A8" s="7" t="str">
        <f>"------"</f>
        <v>------</v>
      </c>
      <c r="B8" s="8" t="str">
        <f>"-----------"</f>
        <v>-----------</v>
      </c>
      <c r="C8" s="8" t="str">
        <f>"------"</f>
        <v>------</v>
      </c>
      <c r="D8" s="8" t="str">
        <f>"------"</f>
        <v>------</v>
      </c>
      <c r="E8" s="8" t="str">
        <f>""</f>
        <v/>
      </c>
      <c r="F8" s="8" t="str">
        <f>""</f>
        <v/>
      </c>
      <c r="G8" s="8" t="str">
        <f>""</f>
        <v/>
      </c>
      <c r="H8" s="8" t="str">
        <f>""</f>
        <v/>
      </c>
      <c r="I8" s="7" t="str">
        <f>""</f>
        <v/>
      </c>
      <c r="J8" s="8" t="str">
        <f>""</f>
        <v/>
      </c>
      <c r="K8" s="7" t="str">
        <f>""</f>
        <v/>
      </c>
      <c r="L8" s="7" t="str">
        <f>""</f>
        <v/>
      </c>
      <c r="M8" s="8" t="str">
        <f>""</f>
        <v/>
      </c>
    </row>
    <row r="9" spans="1:13" ht="15" customHeight="1" x14ac:dyDescent="0.25">
      <c r="A9" s="7" t="str">
        <f>"1"</f>
        <v>1</v>
      </c>
      <c r="B9" s="8" t="str">
        <f>"summary-gateway-fraud-ramp.json"</f>
        <v>summary-gateway-fraud-ramp.json</v>
      </c>
      <c r="C9" s="8" t="str">
        <f t="shared" ref="C9:C15" si="0">"k6 汇总"</f>
        <v>k6 汇总</v>
      </c>
      <c r="D9" s="8" t="str">
        <f>"Gateway → `/api/order/snag`（仅 userId），Fraud Ramp，业务成功率 0%"</f>
        <v>Gateway → `/api/order/snag`（仅 userId），Fraud Ramp，业务成功率 0%</v>
      </c>
      <c r="E9" s="8" t="str">
        <f>""</f>
        <v/>
      </c>
      <c r="F9" s="8" t="str">
        <f>""</f>
        <v/>
      </c>
      <c r="G9" s="8" t="str">
        <f>""</f>
        <v/>
      </c>
      <c r="H9" s="8" t="str">
        <f>""</f>
        <v/>
      </c>
      <c r="I9" s="7" t="str">
        <f>""</f>
        <v/>
      </c>
      <c r="J9" s="8" t="str">
        <f>""</f>
        <v/>
      </c>
      <c r="K9" s="7" t="str">
        <f>""</f>
        <v/>
      </c>
      <c r="L9" s="7" t="str">
        <f>""</f>
        <v/>
      </c>
      <c r="M9" s="8" t="str">
        <f>""</f>
        <v/>
      </c>
    </row>
    <row r="10" spans="1:13" x14ac:dyDescent="0.25">
      <c r="A10" s="7" t="str">
        <f>"2"</f>
        <v>2</v>
      </c>
      <c r="B10" s="8" t="str">
        <f>"summary-gateway-fraud-ramp-noscaler.json"</f>
        <v>summary-gateway-fraud-ramp-noscaler.json</v>
      </c>
      <c r="C10" s="8" t="str">
        <f t="shared" si="0"/>
        <v>k6 汇总</v>
      </c>
      <c r="D10" s="8" t="str">
        <f>"同上路径，关闭 Scaler 观察；业务成功率约 96.5%"</f>
        <v>同上路径，关闭 Scaler 观察；业务成功率约 96.5%</v>
      </c>
      <c r="E10" s="8" t="str">
        <f>""</f>
        <v/>
      </c>
      <c r="F10" s="8" t="str">
        <f>""</f>
        <v/>
      </c>
      <c r="G10" s="8" t="str">
        <f>""</f>
        <v/>
      </c>
      <c r="H10" s="8" t="str">
        <f>""</f>
        <v/>
      </c>
      <c r="I10" s="7" t="str">
        <f>""</f>
        <v/>
      </c>
      <c r="J10" s="8" t="str">
        <f>""</f>
        <v/>
      </c>
      <c r="K10" s="7" t="str">
        <f>""</f>
        <v/>
      </c>
      <c r="L10" s="7" t="str">
        <f>""</f>
        <v/>
      </c>
      <c r="M10" s="8" t="str">
        <f>""</f>
        <v/>
      </c>
    </row>
    <row r="11" spans="1:13" x14ac:dyDescent="0.25">
      <c r="A11" s="7" t="str">
        <f>"3"</f>
        <v>3</v>
      </c>
      <c r="B11" s="8" t="str">
        <f>"summary-docker-order-one.json"</f>
        <v>summary-docker-order-one.json</v>
      </c>
      <c r="C11" s="8" t="str">
        <f t="shared" si="0"/>
        <v>k6 汇总</v>
      </c>
      <c r="D11" s="8" t="str">
        <f>"Docker 内网直连 order 单实例，高目标 RPS，大量丢迭代"</f>
        <v>Docker 内网直连 order 单实例，高目标 RPS，大量丢迭代</v>
      </c>
      <c r="E11" s="8" t="str">
        <f>""</f>
        <v/>
      </c>
      <c r="F11" s="8" t="str">
        <f>""</f>
        <v/>
      </c>
      <c r="G11" s="8" t="str">
        <f>""</f>
        <v/>
      </c>
      <c r="H11" s="8" t="str">
        <f>""</f>
        <v/>
      </c>
      <c r="I11" s="7" t="str">
        <f>""</f>
        <v/>
      </c>
      <c r="J11" s="8" t="str">
        <f>""</f>
        <v/>
      </c>
      <c r="K11" s="7" t="str">
        <f>""</f>
        <v/>
      </c>
      <c r="L11" s="7" t="str">
        <f>""</f>
        <v/>
      </c>
      <c r="M11" s="8" t="str">
        <f>""</f>
        <v/>
      </c>
    </row>
    <row r="12" spans="1:13" x14ac:dyDescent="0.25">
      <c r="A12" s="7" t="str">
        <f>"4"</f>
        <v>4</v>
      </c>
      <c r="B12" s="8" t="str">
        <f>"summary-docker-order-one10w.json"</f>
        <v>summary-docker-order-one10w.json</v>
      </c>
      <c r="C12" s="8" t="str">
        <f t="shared" si="0"/>
        <v>k6 汇总</v>
      </c>
      <c r="D12" s="8" t="str">
        <f>"同上场景，更高丢迭代（文件名对应 10 万级压测配置）"</f>
        <v>同上场景，更高丢迭代（文件名对应 10 万级压测配置）</v>
      </c>
      <c r="E12" s="8" t="str">
        <f>""</f>
        <v/>
      </c>
      <c r="F12" s="8" t="str">
        <f>""</f>
        <v/>
      </c>
      <c r="G12" s="8" t="str">
        <f>""</f>
        <v/>
      </c>
      <c r="H12" s="8" t="str">
        <f>""</f>
        <v/>
      </c>
      <c r="I12" s="7" t="str">
        <f>""</f>
        <v/>
      </c>
      <c r="J12" s="8" t="str">
        <f>""</f>
        <v/>
      </c>
      <c r="K12" s="7" t="str">
        <f>""</f>
        <v/>
      </c>
      <c r="L12" s="7" t="str">
        <f>""</f>
        <v/>
      </c>
      <c r="M12" s="8" t="str">
        <f>""</f>
        <v/>
      </c>
    </row>
    <row r="13" spans="1:13" x14ac:dyDescent="0.25">
      <c r="A13" s="7" t="str">
        <f>"5"</f>
        <v>5</v>
      </c>
      <c r="B13" s="8" t="str">
        <f>"summary-docker-order-onefull.json"</f>
        <v>summary-docker-order-onefull.json</v>
      </c>
      <c r="C13" s="8" t="str">
        <f t="shared" si="0"/>
        <v>k6 汇总</v>
      </c>
      <c r="D13" s="8" t="str">
        <f>"单 order 车道，约 60s，低丢迭代、高吞吐"</f>
        <v>单 order 车道，约 60s，低丢迭代、高吞吐</v>
      </c>
      <c r="E13" s="8" t="str">
        <f>""</f>
        <v/>
      </c>
      <c r="F13" s="8" t="str">
        <f>""</f>
        <v/>
      </c>
      <c r="G13" s="8" t="str">
        <f>""</f>
        <v/>
      </c>
      <c r="H13" s="8" t="str">
        <f>""</f>
        <v/>
      </c>
      <c r="I13" s="7" t="str">
        <f>""</f>
        <v/>
      </c>
      <c r="J13" s="8" t="str">
        <f>""</f>
        <v/>
      </c>
      <c r="K13" s="7" t="str">
        <f>""</f>
        <v/>
      </c>
      <c r="L13" s="7" t="str">
        <f>""</f>
        <v/>
      </c>
      <c r="M13" s="8" t="str">
        <f>""</f>
        <v/>
      </c>
    </row>
    <row r="14" spans="1:13" x14ac:dyDescent="0.25">
      <c r="A14" s="7" t="str">
        <f>"6"</f>
        <v>6</v>
      </c>
      <c r="B14" s="8" t="str">
        <f>"summary-docker-baseline.json"</f>
        <v>summary-docker-baseline.json</v>
      </c>
      <c r="C14" s="8" t="str">
        <f t="shared" si="0"/>
        <v>k6 汇总</v>
      </c>
      <c r="D14" s="8" t="str">
        <f>"order-baseline 对照容器，约 95s"</f>
        <v>order-baseline 对照容器，约 95s</v>
      </c>
      <c r="E14" s="8" t="str">
        <f>""</f>
        <v/>
      </c>
      <c r="F14" s="8" t="str">
        <f>""</f>
        <v/>
      </c>
      <c r="G14" s="8" t="str">
        <f>""</f>
        <v/>
      </c>
      <c r="H14" s="8" t="str">
        <f>""</f>
        <v/>
      </c>
      <c r="I14" s="7" t="str">
        <f>""</f>
        <v/>
      </c>
      <c r="J14" s="8" t="str">
        <f>""</f>
        <v/>
      </c>
      <c r="K14" s="7" t="str">
        <f>""</f>
        <v/>
      </c>
      <c r="L14" s="7" t="str">
        <f>""</f>
        <v/>
      </c>
      <c r="M14" s="8" t="str">
        <f>""</f>
        <v/>
      </c>
    </row>
    <row r="15" spans="1:13" x14ac:dyDescent="0.25">
      <c r="A15" s="7" t="str">
        <f>"7"</f>
        <v>7</v>
      </c>
      <c r="B15" s="8" t="str">
        <f>"summary-docker-baselinefull.json"</f>
        <v>summary-docker-baselinefull.json</v>
      </c>
      <c r="C15" s="8" t="str">
        <f t="shared" si="0"/>
        <v>k6 汇总</v>
      </c>
      <c r="D15" s="8" t="str">
        <f>"baseline 约 60s 满负荷段"</f>
        <v>baseline 约 60s 满负荷段</v>
      </c>
      <c r="E15" s="8" t="str">
        <f>""</f>
        <v/>
      </c>
      <c r="F15" s="8" t="str">
        <f>""</f>
        <v/>
      </c>
      <c r="G15" s="8" t="str">
        <f>""</f>
        <v/>
      </c>
      <c r="H15" s="8" t="str">
        <f>""</f>
        <v/>
      </c>
      <c r="I15" s="7" t="str">
        <f>""</f>
        <v/>
      </c>
      <c r="J15" s="8" t="str">
        <f>""</f>
        <v/>
      </c>
      <c r="K15" s="7" t="str">
        <f>""</f>
        <v/>
      </c>
      <c r="L15" s="7" t="str">
        <f>""</f>
        <v/>
      </c>
      <c r="M15" s="8" t="str">
        <f>""</f>
        <v/>
      </c>
    </row>
    <row r="16" spans="1:13" x14ac:dyDescent="0.25">
      <c r="A16" s="7" t="str">
        <f>"8"</f>
        <v>8</v>
      </c>
      <c r="B16" s="8" t="str">
        <f>"log5.txt"</f>
        <v>log5.txt</v>
      </c>
      <c r="C16" s="8" t="str">
        <f>"k6 终端输出"</f>
        <v>k6 终端输出</v>
      </c>
      <c r="D16" s="8" t="str">
        <f>"`run-k6-order-load-one.cmd`，20 000 iters/s × 60s"</f>
        <v>`run-k6-order-load-one.cmd`，20 000 iters/s × 60s</v>
      </c>
      <c r="E16" s="8" t="str">
        <f>""</f>
        <v/>
      </c>
      <c r="F16" s="8" t="str">
        <f>""</f>
        <v/>
      </c>
      <c r="G16" s="8" t="str">
        <f>""</f>
        <v/>
      </c>
      <c r="H16" s="8" t="str">
        <f>""</f>
        <v/>
      </c>
      <c r="I16" s="7" t="str">
        <f>""</f>
        <v/>
      </c>
      <c r="J16" s="8" t="str">
        <f>""</f>
        <v/>
      </c>
      <c r="K16" s="7" t="str">
        <f>""</f>
        <v/>
      </c>
      <c r="L16" s="7" t="str">
        <f>""</f>
        <v/>
      </c>
      <c r="M16" s="8" t="str">
        <f>""</f>
        <v/>
      </c>
    </row>
    <row r="17" spans="1:13" x14ac:dyDescent="0.25">
      <c r="A17" s="7" t="str">
        <f>"9"</f>
        <v>9</v>
      </c>
      <c r="B17" s="8" t="str">
        <f>"log6.txt"</f>
        <v>log6.txt</v>
      </c>
      <c r="C17" s="8" t="str">
        <f>"k6 终端输出"</f>
        <v>k6 终端输出</v>
      </c>
      <c r="D17" s="8" t="str">
        <f>"同上，25 000 iters/s × 60s"</f>
        <v>同上，25 000 iters/s × 60s</v>
      </c>
      <c r="E17" s="8" t="str">
        <f>""</f>
        <v/>
      </c>
      <c r="F17" s="8" t="str">
        <f>""</f>
        <v/>
      </c>
      <c r="G17" s="8" t="str">
        <f>""</f>
        <v/>
      </c>
      <c r="H17" s="8" t="str">
        <f>""</f>
        <v/>
      </c>
      <c r="I17" s="7" t="str">
        <f>""</f>
        <v/>
      </c>
      <c r="J17" s="8" t="str">
        <f>""</f>
        <v/>
      </c>
      <c r="K17" s="7" t="str">
        <f>""</f>
        <v/>
      </c>
      <c r="L17" s="7" t="str">
        <f>""</f>
        <v/>
      </c>
      <c r="M17" s="8" t="str">
        <f>""</f>
        <v/>
      </c>
    </row>
    <row r="18" spans="1:13" x14ac:dyDescent="0.25">
      <c r="A18" s="7" t="str">
        <f>"10"</f>
        <v>10</v>
      </c>
      <c r="B18" s="8" t="str">
        <f>"log7.txt"</f>
        <v>log7.txt</v>
      </c>
      <c r="C18" s="8" t="str">
        <f>"k6 终端输出"</f>
        <v>k6 终端输出</v>
      </c>
      <c r="D18" s="8" t="str">
        <f>"同上，50 000 iters/s × 60s"</f>
        <v>同上，50 000 iters/s × 60s</v>
      </c>
      <c r="E18" s="8" t="str">
        <f>""</f>
        <v/>
      </c>
      <c r="F18" s="8" t="str">
        <f>""</f>
        <v/>
      </c>
      <c r="G18" s="8" t="str">
        <f>""</f>
        <v/>
      </c>
      <c r="H18" s="8" t="str">
        <f>""</f>
        <v/>
      </c>
      <c r="I18" s="7" t="str">
        <f>""</f>
        <v/>
      </c>
      <c r="J18" s="8" t="str">
        <f>""</f>
        <v/>
      </c>
      <c r="K18" s="7" t="str">
        <f>""</f>
        <v/>
      </c>
      <c r="L18" s="7" t="str">
        <f>""</f>
        <v/>
      </c>
      <c r="M18" s="8" t="str">
        <f>""</f>
        <v/>
      </c>
    </row>
    <row r="19" spans="1:13" x14ac:dyDescent="0.25">
      <c r="A19" s="7" t="str">
        <f>"11"</f>
        <v>11</v>
      </c>
      <c r="B19" s="8" t="str">
        <f>"数据链.txt"</f>
        <v>数据链.txt</v>
      </c>
      <c r="C19" s="8" t="str">
        <f>"Prometheus 导出"</f>
        <v>Prometheus 导出</v>
      </c>
      <c r="D19" s="8" t="str">
        <f>"`by_product` 路径抢单，order 侧 `local_tx` / MQ 指标快照"</f>
        <v>`by_product` 路径抢单，order 侧 `local_tx` / MQ 指标快照</v>
      </c>
      <c r="E19" s="8" t="str">
        <f>""</f>
        <v/>
      </c>
      <c r="F19" s="8" t="str">
        <f>""</f>
        <v/>
      </c>
      <c r="G19" s="8" t="str">
        <f>""</f>
        <v/>
      </c>
      <c r="H19" s="8" t="str">
        <f>""</f>
        <v/>
      </c>
      <c r="I19" s="7" t="str">
        <f>""</f>
        <v/>
      </c>
      <c r="J19" s="8" t="str">
        <f>""</f>
        <v/>
      </c>
      <c r="K19" s="7" t="str">
        <f>""</f>
        <v/>
      </c>
      <c r="L19" s="7" t="str">
        <f>""</f>
        <v/>
      </c>
      <c r="M19" s="8" t="str">
        <f>""</f>
        <v/>
      </c>
    </row>
    <row r="20" spans="1:13" x14ac:dyDescent="0.25">
      <c r="A20" s="7" t="str">
        <f>""</f>
        <v/>
      </c>
      <c r="B20" s="8" t="str">
        <f>""</f>
        <v/>
      </c>
      <c r="C20" s="8" t="str">
        <f>""</f>
        <v/>
      </c>
      <c r="D20" s="8" t="str">
        <f>""</f>
        <v/>
      </c>
      <c r="E20" s="8" t="str">
        <f>""</f>
        <v/>
      </c>
      <c r="F20" s="8" t="str">
        <f>""</f>
        <v/>
      </c>
      <c r="G20" s="8" t="str">
        <f>""</f>
        <v/>
      </c>
      <c r="H20" s="8" t="str">
        <f>""</f>
        <v/>
      </c>
      <c r="I20" s="7" t="str">
        <f>""</f>
        <v/>
      </c>
      <c r="J20" s="8" t="str">
        <f>""</f>
        <v/>
      </c>
      <c r="K20" s="7" t="str">
        <f>""</f>
        <v/>
      </c>
      <c r="L20" s="7" t="str">
        <f>""</f>
        <v/>
      </c>
      <c r="M20" s="8" t="str">
        <f>""</f>
        <v/>
      </c>
    </row>
    <row r="21" spans="1:13" x14ac:dyDescent="0.25">
      <c r="A21" s="7" t="str">
        <f>"序号"</f>
        <v>序号</v>
      </c>
      <c r="B21" s="8" t="str">
        <f>"记录编号"</f>
        <v>记录编号</v>
      </c>
      <c r="C21" s="8" t="str">
        <f>"测试场景"</f>
        <v>测试场景</v>
      </c>
      <c r="D21" s="8" t="str">
        <f>"入口 / 脚本"</f>
        <v>入口 / 脚本</v>
      </c>
      <c r="E21" s="8" t="str">
        <f>"目标负载"</f>
        <v>目标负载</v>
      </c>
      <c r="F21" s="8" t="str">
        <f>"时长(s)"</f>
        <v>时长(s)</v>
      </c>
      <c r="G21" s="8" t="str">
        <f>"总请求数"</f>
        <v>总请求数</v>
      </c>
      <c r="H21" s="8" t="str">
        <f>"实际 RPS"</f>
        <v>实际 RPS</v>
      </c>
      <c r="I21" s="7" t="str">
        <f>"HTTP 失败率"</f>
        <v>HTTP 失败率</v>
      </c>
      <c r="J21" s="8" t="str">
        <f>"业务成功率"</f>
        <v>业务成功率</v>
      </c>
      <c r="K21" s="7" t="str">
        <f>"延迟 med / p95 / p99 (ms)"</f>
        <v>延迟 med / p95 / p99 (ms)</v>
      </c>
      <c r="L21" s="7" t="str">
        <f>"丢迭代"</f>
        <v>丢迭代</v>
      </c>
      <c r="M21" s="8" t="str">
        <f>"备注"</f>
        <v>备注</v>
      </c>
    </row>
    <row r="22" spans="1:13" x14ac:dyDescent="0.25">
      <c r="A22" s="7" t="str">
        <f>"------"</f>
        <v>------</v>
      </c>
      <c r="B22" s="8" t="str">
        <f>"----------"</f>
        <v>----------</v>
      </c>
      <c r="C22" s="8" t="str">
        <f>"----------"</f>
        <v>----------</v>
      </c>
      <c r="D22" s="8" t="str">
        <f>"-------------"</f>
        <v>-------------</v>
      </c>
      <c r="E22" s="8" t="str">
        <f>"----------"</f>
        <v>----------</v>
      </c>
      <c r="F22" s="8" t="str">
        <f>"---------"</f>
        <v>---------</v>
      </c>
      <c r="G22" s="8" t="str">
        <f>"----------"</f>
        <v>----------</v>
      </c>
      <c r="H22" s="8" t="str">
        <f>"----------"</f>
        <v>----------</v>
      </c>
      <c r="I22" s="7" t="str">
        <f>"-------------"</f>
        <v>-------------</v>
      </c>
      <c r="J22" s="8" t="str">
        <f>"------------"</f>
        <v>------------</v>
      </c>
      <c r="K22" s="7" t="str">
        <f>"---------------------------"</f>
        <v>---------------------------</v>
      </c>
      <c r="L22" s="7" t="str">
        <f>"--------"</f>
        <v>--------</v>
      </c>
      <c r="M22" s="8" t="str">
        <f>"------"</f>
        <v>------</v>
      </c>
    </row>
    <row r="23" spans="1:13" ht="15" customHeight="1" x14ac:dyDescent="0.25">
      <c r="A23" s="7" t="str">
        <f>"1"</f>
        <v>1</v>
      </c>
      <c r="B23" s="8" t="str">
        <f>"STR-GW-001"</f>
        <v>STR-GW-001</v>
      </c>
      <c r="C23" s="8" t="str">
        <f>"Gateway Fraud Ramp（含 Scaler）"</f>
        <v>Gateway Fraud Ramp（含 Scaler）</v>
      </c>
      <c r="D23" s="8" t="str">
        <f>"Gateway:8080；`k6-snag-gateway-fraud-ramp.js`"</f>
        <v>Gateway:8080；`k6-snag-gateway-fraud-ramp.js`</v>
      </c>
      <c r="E23" s="8" t="str">
        <f>"阶梯约 2000 RPS 均值（360s 合计）"</f>
        <v>阶梯约 2000 RPS 均值（360s 合计）</v>
      </c>
      <c r="F23" s="8" t="str">
        <f>"360.0"</f>
        <v>360.0</v>
      </c>
      <c r="G23" s="8" t="str">
        <f>"720 003"</f>
        <v>720 003</v>
      </c>
      <c r="H23" s="8" t="str">
        <f>"2000.1"</f>
        <v>2000.1</v>
      </c>
      <c r="I23" s="7" t="str">
        <f>"0%"</f>
        <v>0%</v>
      </c>
      <c r="J23" s="8" t="str">
        <f>"98.42%"</f>
        <v>98.42%</v>
      </c>
      <c r="K23" s="7" t="str">
        <f>"2.77 / 11.96 / 82.36"</f>
        <v>2.77 / 11.96 / 82.36</v>
      </c>
      <c r="L23" s="7" t="str">
        <f>"0"</f>
        <v>0</v>
      </c>
      <c r="M23" s="8" t="str">
        <f>"`snag_business_success` 全失败；与序列化 bug 轮次一致，见 ISS-001"</f>
        <v>`snag_business_success` 全失败；与序列化 bug 轮次一致，见 ISS-001</v>
      </c>
    </row>
    <row r="24" spans="1:13" ht="15" customHeight="1" x14ac:dyDescent="0.25">
      <c r="A24" s="7" t="str">
        <f>"2"</f>
        <v>2</v>
      </c>
      <c r="B24" s="8" t="str">
        <f>"STR-GW-002"</f>
        <v>STR-GW-002</v>
      </c>
      <c r="C24" s="8" t="str">
        <f>"Gateway Fraud Ramp（noscaler）"</f>
        <v>Gateway Fraud Ramp（noscaler）</v>
      </c>
      <c r="D24" s="8" t="str">
        <f>"同上；压测前停止 Scaler"</f>
        <v>同上；压测前停止 Scaler</v>
      </c>
      <c r="E24" s="8" t="str">
        <f>"阶梯约 2000 RPS 均值"</f>
        <v>阶梯约 2000 RPS 均值</v>
      </c>
      <c r="F24" s="8" t="str">
        <f>"360.0"</f>
        <v>360.0</v>
      </c>
      <c r="G24" s="8" t="str">
        <f>"717 243"</f>
        <v>717 243</v>
      </c>
      <c r="H24" s="8" t="str">
        <f>"1992.4"</f>
        <v>1992.4</v>
      </c>
      <c r="I24" s="7" t="str">
        <f>"0%"</f>
        <v>0%</v>
      </c>
      <c r="J24" s="8" t="str">
        <f>"96.55%"</f>
        <v>96.55%</v>
      </c>
      <c r="K24" s="7" t="str">
        <f>"2.47 / 12.05 / 567.17"</f>
        <v>2.47 / 12.05 / 567.17</v>
      </c>
      <c r="L24" s="7" t="str">
        <f>"2760"</f>
        <v>2760</v>
      </c>
      <c r="M24" s="8" t="str">
        <f>"24 754 次 JSON `success:false`；p99 尾延迟被少数慢请求拉高"</f>
        <v>24 754 次 JSON `success:false`；p99 尾延迟被少数慢请求拉高</v>
      </c>
    </row>
    <row r="25" spans="1:13" ht="15" customHeight="1" x14ac:dyDescent="0.25">
      <c r="A25" s="7" t="str">
        <f>"3"</f>
        <v>3</v>
      </c>
      <c r="B25" s="8" t="str">
        <f>"STR-DKR-001"</f>
        <v>STR-DKR-001</v>
      </c>
      <c r="C25" s="8" t="str">
        <f>"Docker 内网单 order（高压）"</f>
        <v>Docker 内网单 order（高压）</v>
      </c>
      <c r="D25" s="8" t="str">
        <f>"`k6-snag-docker-internal-single-lane.js`"</f>
        <v>`k6-snag-docker-internal-single-lane.js`</v>
      </c>
      <c r="E25" s="8" t="str">
        <f>"极高并发"</f>
        <v>极高并发</v>
      </c>
      <c r="F25" s="8" t="str">
        <f>"63.5"</f>
        <v>63.5</v>
      </c>
      <c r="G25" s="8" t="str">
        <f>"4 119 583"</f>
        <v>4 119 583</v>
      </c>
      <c r="H25" s="8" t="str">
        <f>"64847.3"</f>
        <v>64847.3</v>
      </c>
      <c r="I25" s="7" t="str">
        <f>"0%"</f>
        <v>0%</v>
      </c>
      <c r="J25" s="8" t="str">
        <f>"—（仅 status 200）"</f>
        <v>—（仅 status 200）</v>
      </c>
      <c r="K25" s="7" t="str">
        <f>"23.40 / 83.31 / 149.72"</f>
        <v>23.40 / 83.31 / 149.72</v>
      </c>
      <c r="L25" s="7" t="str">
        <f>"674 145"</f>
        <v>674 145</v>
      </c>
      <c r="M25" s="8" t="str">
        <f>"丢迭代率极高，非稳态容量结论"</f>
        <v>丢迭代率极高，非稳态容量结论</v>
      </c>
    </row>
    <row r="26" spans="1:13" x14ac:dyDescent="0.25">
      <c r="A26" s="7" t="str">
        <f>"4"</f>
        <v>4</v>
      </c>
      <c r="B26" s="8" t="str">
        <f>"STR-DKR-002"</f>
        <v>STR-DKR-002</v>
      </c>
      <c r="C26" s="8" t="str">
        <f>"Docker 内网单 order（10w 配置）"</f>
        <v>Docker 内网单 order（10w 配置）</v>
      </c>
      <c r="D26" s="8" t="str">
        <f>"同上"</f>
        <v>同上</v>
      </c>
      <c r="E26" s="8" t="str">
        <f>"极高并发"</f>
        <v>极高并发</v>
      </c>
      <c r="F26" s="8" t="str">
        <f>"63.5"</f>
        <v>63.5</v>
      </c>
      <c r="G26" s="8" t="str">
        <f>"3 747 311"</f>
        <v>3 747 311</v>
      </c>
      <c r="H26" s="8" t="str">
        <f>"58989.4"</f>
        <v>58989.4</v>
      </c>
      <c r="I26" s="7" t="str">
        <f>"0%"</f>
        <v>0%</v>
      </c>
      <c r="J26" s="8" t="str">
        <f t="shared" ref="J26:J32" si="1">"—"</f>
        <v>—</v>
      </c>
      <c r="K26" s="7" t="str">
        <f>"33.79 / 102.36 / 189.27"</f>
        <v>33.79 / 102.36 / 189.27</v>
      </c>
      <c r="L26" s="7" t="str">
        <f>"1 827 164"</f>
        <v>1 827 164</v>
      </c>
      <c r="M26" s="8" t="str">
        <f>"丢迭代多于 STR-DKR-001，延迟更高"</f>
        <v>丢迭代多于 STR-DKR-001，延迟更高</v>
      </c>
    </row>
    <row r="27" spans="1:13" x14ac:dyDescent="0.25">
      <c r="A27" s="7" t="str">
        <f>"5"</f>
        <v>5</v>
      </c>
      <c r="B27" s="8" t="str">
        <f>"STR-DKR-003"</f>
        <v>STR-DKR-003</v>
      </c>
      <c r="C27" s="8" t="str">
        <f>"Docker 内网单 order（满负荷 60s）"</f>
        <v>Docker 内网单 order（满负荷 60s）</v>
      </c>
      <c r="D27" s="8" t="str">
        <f>"同上"</f>
        <v>同上</v>
      </c>
      <c r="E27" s="8" t="str">
        <f>"稳定打满"</f>
        <v>稳定打满</v>
      </c>
      <c r="F27" s="8" t="str">
        <f>"63.7"</f>
        <v>63.7</v>
      </c>
      <c r="G27" s="8" t="str">
        <f>"1 792 763"</f>
        <v>1 792 763</v>
      </c>
      <c r="H27" s="8" t="str">
        <f>"28158.9"</f>
        <v>28158.9</v>
      </c>
      <c r="I27" s="7" t="str">
        <f>"0%"</f>
        <v>0%</v>
      </c>
      <c r="J27" s="8" t="str">
        <f t="shared" si="1"/>
        <v>—</v>
      </c>
      <c r="K27" s="7" t="str">
        <f>"0.69 / 26.01 / 64.81"</f>
        <v>0.69 / 26.01 / 64.81</v>
      </c>
      <c r="L27" s="7" t="str">
        <f>"7255"</f>
        <v>7255</v>
      </c>
      <c r="M27" s="8" t="str">
        <f>"对应 `summary-docker-order-onefull.json`"</f>
        <v>对应 `summary-docker-order-onefull.json`</v>
      </c>
    </row>
    <row r="28" spans="1:13" x14ac:dyDescent="0.25">
      <c r="A28" s="7" t="str">
        <f>"6"</f>
        <v>6</v>
      </c>
      <c r="B28" s="8" t="str">
        <f>"STR-DKR-004"</f>
        <v>STR-DKR-004</v>
      </c>
      <c r="C28" s="8" t="str">
        <f>"order-baseline 对照（长时）"</f>
        <v>order-baseline 对照（长时）</v>
      </c>
      <c r="D28" s="8" t="str">
        <f>"baseline 容器内网"</f>
        <v>baseline 容器内网</v>
      </c>
      <c r="E28" s="8" t="str">
        <f>"高并发"</f>
        <v>高并发</v>
      </c>
      <c r="F28" s="8" t="str">
        <f>"95.2"</f>
        <v>95.2</v>
      </c>
      <c r="G28" s="8" t="str">
        <f>"2 897 750"</f>
        <v>2 897 750</v>
      </c>
      <c r="H28" s="8" t="str">
        <f>"30434.8"</f>
        <v>30434.8</v>
      </c>
      <c r="I28" s="7" t="str">
        <f>"0.068%"</f>
        <v>0.068%</v>
      </c>
      <c r="J28" s="8" t="str">
        <f t="shared" si="1"/>
        <v>—</v>
      </c>
      <c r="K28" s="7" t="str">
        <f>"40.09 / 153.72 / 274.02"</f>
        <v>40.09 / 153.72 / 274.02</v>
      </c>
      <c r="L28" s="7" t="str">
        <f>"1 189 061"</f>
        <v>1 189 061</v>
      </c>
      <c r="M28" s="8" t="str">
        <f>"对应 `summary-docker-baseline.json`"</f>
        <v>对应 `summary-docker-baseline.json`</v>
      </c>
    </row>
    <row r="29" spans="1:13" x14ac:dyDescent="0.25">
      <c r="A29" s="7" t="str">
        <f>"7"</f>
        <v>7</v>
      </c>
      <c r="B29" s="8" t="str">
        <f>"STR-DKR-005"</f>
        <v>STR-DKR-005</v>
      </c>
      <c r="C29" s="8" t="str">
        <f>"order-baseline（60s 满负荷）"</f>
        <v>order-baseline（60s 满负荷）</v>
      </c>
      <c r="D29" s="8" t="str">
        <f>"同上"</f>
        <v>同上</v>
      </c>
      <c r="E29" s="8" t="str">
        <f>"稳定段"</f>
        <v>稳定段</v>
      </c>
      <c r="F29" s="8" t="str">
        <f>"63.6"</f>
        <v>63.6</v>
      </c>
      <c r="G29" s="8" t="str">
        <f>"1 789 715"</f>
        <v>1 789 715</v>
      </c>
      <c r="H29" s="8" t="str">
        <f>"28154.9"</f>
        <v>28154.9</v>
      </c>
      <c r="I29" s="7" t="str">
        <f>"0%"</f>
        <v>0%</v>
      </c>
      <c r="J29" s="8" t="str">
        <f t="shared" si="1"/>
        <v>—</v>
      </c>
      <c r="K29" s="7" t="str">
        <f>"5.60 / 85.14 / 135.72"</f>
        <v>5.60 / 85.14 / 135.72</v>
      </c>
      <c r="L29" s="7" t="str">
        <f>"10 321"</f>
        <v>10 321</v>
      </c>
      <c r="M29" s="8" t="str">
        <f>"对应 `summary-docker-baselinefull.json`"</f>
        <v>对应 `summary-docker-baselinefull.json`</v>
      </c>
    </row>
    <row r="30" spans="1:13" x14ac:dyDescent="0.25">
      <c r="A30" s="7" t="str">
        <f>"8"</f>
        <v>8</v>
      </c>
      <c r="B30" s="8" t="str">
        <f>"STR-LOG-001"</f>
        <v>STR-LOG-001</v>
      </c>
      <c r="C30" s="8" t="str">
        <f>"单车道固定 20k iters/s"</f>
        <v>单车道固定 20k iters/s</v>
      </c>
      <c r="D30" s="8" t="str">
        <f>"`run-k6-order-load-one.cmd`"</f>
        <v>`run-k6-order-load-one.cmd`</v>
      </c>
      <c r="E30" s="8" t="str">
        <f>"20 000/s × 60s"</f>
        <v>20 000/s × 60s</v>
      </c>
      <c r="F30" s="8" t="str">
        <f>"60.0"</f>
        <v>60.0</v>
      </c>
      <c r="G30" s="8" t="str">
        <f>"1 198 527"</f>
        <v>1 198 527</v>
      </c>
      <c r="H30" s="8" t="str">
        <f>"19967.8"</f>
        <v>19967.8</v>
      </c>
      <c r="I30" s="7" t="str">
        <f>"0%"</f>
        <v>0%</v>
      </c>
      <c r="J30" s="8" t="str">
        <f t="shared" si="1"/>
        <v>—</v>
      </c>
      <c r="K30" s="7" t="str">
        <f>"0.44 / 19.95 / 57.29"</f>
        <v>0.44 / 19.95 / 57.29</v>
      </c>
      <c r="L30" s="7" t="str">
        <f>"1411"</f>
        <v>1411</v>
      </c>
      <c r="M30" s="8" t="str">
        <f>"2026-05-17 15:38；max VU 6609"</f>
        <v>2026-05-17 15:38；max VU 6609</v>
      </c>
    </row>
    <row r="31" spans="1:13" x14ac:dyDescent="0.25">
      <c r="A31" s="7" t="str">
        <f>"9"</f>
        <v>9</v>
      </c>
      <c r="B31" s="8" t="str">
        <f>"STR-LOG-002"</f>
        <v>STR-LOG-002</v>
      </c>
      <c r="C31" s="8" t="str">
        <f>"单车道固定 25k iters/s"</f>
        <v>单车道固定 25k iters/s</v>
      </c>
      <c r="D31" s="8" t="str">
        <f>"同上"</f>
        <v>同上</v>
      </c>
      <c r="E31" s="8" t="str">
        <f>"25 000/s × 60s"</f>
        <v>25 000/s × 60s</v>
      </c>
      <c r="F31" s="8" t="str">
        <f>"60.0"</f>
        <v>60.0</v>
      </c>
      <c r="G31" s="8" t="str">
        <f>"1 496 158"</f>
        <v>1 496 158</v>
      </c>
      <c r="H31" s="8" t="str">
        <f>"24932.4"</f>
        <v>24932.4</v>
      </c>
      <c r="I31" s="7" t="str">
        <f>"0%"</f>
        <v>0%</v>
      </c>
      <c r="J31" s="8" t="str">
        <f t="shared" si="1"/>
        <v>—</v>
      </c>
      <c r="K31" s="7" t="str">
        <f>"0.56 / 16.09 / 54.59"</f>
        <v>0.56 / 16.09 / 54.59</v>
      </c>
      <c r="L31" s="7" t="str">
        <f>"3844"</f>
        <v>3844</v>
      </c>
      <c r="M31" s="8" t="str">
        <f>"2026-05-17 15:40"</f>
        <v>2026-05-17 15:40</v>
      </c>
    </row>
    <row r="32" spans="1:13" x14ac:dyDescent="0.25">
      <c r="A32" s="7" t="str">
        <f>"10"</f>
        <v>10</v>
      </c>
      <c r="B32" s="8" t="str">
        <f>"STR-LOG-003"</f>
        <v>STR-LOG-003</v>
      </c>
      <c r="C32" s="8" t="str">
        <f>"单车道固定 50k iters/s"</f>
        <v>单车道固定 50k iters/s</v>
      </c>
      <c r="D32" s="8" t="str">
        <f>"同上"</f>
        <v>同上</v>
      </c>
      <c r="E32" s="8" t="str">
        <f>"50 000/s × 60s"</f>
        <v>50 000/s × 60s</v>
      </c>
      <c r="F32" s="8" t="str">
        <f>"60.1"</f>
        <v>60.1</v>
      </c>
      <c r="G32" s="8" t="str">
        <f>"2 918 141"</f>
        <v>2 918 141</v>
      </c>
      <c r="H32" s="8" t="str">
        <f>"48547.2"</f>
        <v>48547.2</v>
      </c>
      <c r="I32" s="7" t="str">
        <f>"0%"</f>
        <v>0%</v>
      </c>
      <c r="J32" s="8" t="str">
        <f t="shared" si="1"/>
        <v>—</v>
      </c>
      <c r="K32" s="7" t="str">
        <f>"12.84 / 118.65 / 186.32"</f>
        <v>12.84 / 118.65 / 186.32</v>
      </c>
      <c r="L32" s="7" t="str">
        <f>"81 855"</f>
        <v>81 855</v>
      </c>
      <c r="M32" s="8" t="str">
        <f>"2026-05-17 15:55；目标 50k 实际 ~48.5k"</f>
        <v>2026-05-17 15:55；目标 50k 实际 ~48.5k</v>
      </c>
    </row>
    <row r="33" spans="1:13" ht="15" customHeight="1" x14ac:dyDescent="0.25">
      <c r="A33" s="7" t="str">
        <f>"11"</f>
        <v>11</v>
      </c>
      <c r="B33" s="8" t="str">
        <f>"STR-MET-001"</f>
        <v>STR-MET-001</v>
      </c>
      <c r="C33" s="8" t="str">
        <f>"by_product 路径指标快照"</f>
        <v>by_product 路径指标快照</v>
      </c>
      <c r="D33" s="8" t="str">
        <f>"真实 productId 抢单"</f>
        <v>真实 productId 抢单</v>
      </c>
      <c r="E33" s="8" t="str">
        <f>"—"</f>
        <v>—</v>
      </c>
      <c r="F33" s="8" t="str">
        <f>"—"</f>
        <v>—</v>
      </c>
      <c r="G33" s="8" t="str">
        <f>"1 142 937（local_tx ok）"</f>
        <v>1 142 937（local_tx ok）</v>
      </c>
      <c r="H33" s="8" t="str">
        <f>"—"</f>
        <v>—</v>
      </c>
      <c r="I33" s="7" t="str">
        <f>"—"</f>
        <v>—</v>
      </c>
      <c r="J33" s="8" t="str">
        <f>"100%（counter）"</f>
        <v>100%（counter）</v>
      </c>
      <c r="K33" s="7" t="str">
        <f>"local_tx 均摊约 3.06 ms（sum/count）"</f>
        <v>local_tx 均摊约 3.06 ms（sum/count）</v>
      </c>
      <c r="L33" s="7" t="str">
        <f>"—"</f>
        <v>—</v>
      </c>
      <c r="M33" s="8" t="str">
        <f>"来自 `数据链.txt`"</f>
        <v>来自 `数据链.txt`</v>
      </c>
    </row>
    <row r="34" spans="1:13" x14ac:dyDescent="0.25">
      <c r="A34" s="7" t="str">
        <f>""</f>
        <v/>
      </c>
      <c r="B34" s="8" t="str">
        <f>""</f>
        <v/>
      </c>
      <c r="C34" s="8" t="str">
        <f>""</f>
        <v/>
      </c>
      <c r="D34" s="8" t="str">
        <f>""</f>
        <v/>
      </c>
      <c r="E34" s="8" t="str">
        <f>""</f>
        <v/>
      </c>
      <c r="F34" s="8" t="str">
        <f>""</f>
        <v/>
      </c>
      <c r="G34" s="8" t="str">
        <f>""</f>
        <v/>
      </c>
      <c r="H34" s="8" t="str">
        <f>""</f>
        <v/>
      </c>
      <c r="I34" s="7" t="str">
        <f>""</f>
        <v/>
      </c>
      <c r="J34" s="8" t="str">
        <f>""</f>
        <v/>
      </c>
      <c r="K34" s="7" t="str">
        <f>""</f>
        <v/>
      </c>
      <c r="L34" s="7" t="str">
        <f>""</f>
        <v/>
      </c>
      <c r="M34" s="8" t="str">
        <f>""</f>
        <v/>
      </c>
    </row>
    <row r="35" spans="1:13" x14ac:dyDescent="0.25">
      <c r="A35" s="7" t="str">
        <f>"序号"</f>
        <v>序号</v>
      </c>
      <c r="B35" s="8" t="str">
        <f>"记录编号"</f>
        <v>记录编号</v>
      </c>
      <c r="C35" s="8" t="str">
        <f>"对比维度"</f>
        <v>对比维度</v>
      </c>
      <c r="D35" s="8" t="str">
        <f>"order 单实例满负荷 (STR-DKR-003)"</f>
        <v>order 单实例满负荷 (STR-DKR-003)</v>
      </c>
      <c r="E35" s="8" t="str">
        <f>"order-baseline 满负荷 (STR-DKR-005)"</f>
        <v>order-baseline 满负荷 (STR-DKR-005)</v>
      </c>
      <c r="F35" s="8" t="str">
        <f>"结论"</f>
        <v>结论</v>
      </c>
      <c r="G35" s="8" t="str">
        <f>""</f>
        <v/>
      </c>
      <c r="H35" s="8" t="str">
        <f>""</f>
        <v/>
      </c>
      <c r="I35" s="7" t="str">
        <f>""</f>
        <v/>
      </c>
      <c r="J35" s="8" t="str">
        <f>""</f>
        <v/>
      </c>
      <c r="K35" s="7" t="str">
        <f>""</f>
        <v/>
      </c>
      <c r="L35" s="7" t="str">
        <f>""</f>
        <v/>
      </c>
      <c r="M35" s="8" t="str">
        <f>""</f>
        <v/>
      </c>
    </row>
    <row r="36" spans="1:13" x14ac:dyDescent="0.25">
      <c r="A36" s="7" t="str">
        <f>"------"</f>
        <v>------</v>
      </c>
      <c r="B36" s="8" t="str">
        <f>"----------"</f>
        <v>----------</v>
      </c>
      <c r="C36" s="8" t="str">
        <f>"----------"</f>
        <v>----------</v>
      </c>
      <c r="D36" s="8" t="str">
        <f>"----------------------------------"</f>
        <v>----------------------------------</v>
      </c>
      <c r="E36" s="8" t="str">
        <f>"-----------------------------------"</f>
        <v>-----------------------------------</v>
      </c>
      <c r="F36" s="8" t="str">
        <f>"------"</f>
        <v>------</v>
      </c>
      <c r="G36" s="8" t="str">
        <f>""</f>
        <v/>
      </c>
      <c r="H36" s="8" t="str">
        <f>""</f>
        <v/>
      </c>
      <c r="I36" s="7" t="str">
        <f>""</f>
        <v/>
      </c>
      <c r="J36" s="8" t="str">
        <f>""</f>
        <v/>
      </c>
      <c r="K36" s="7" t="str">
        <f>""</f>
        <v/>
      </c>
      <c r="L36" s="7" t="str">
        <f>""</f>
        <v/>
      </c>
      <c r="M36" s="8" t="str">
        <f>""</f>
        <v/>
      </c>
    </row>
    <row r="37" spans="1:13" x14ac:dyDescent="0.25">
      <c r="A37" s="7" t="str">
        <f>"1"</f>
        <v>1</v>
      </c>
      <c r="B37" s="8" t="str">
        <f>"CMP-001"</f>
        <v>CMP-001</v>
      </c>
      <c r="C37" s="8" t="str">
        <f>"60s 实际 RPS"</f>
        <v>60s 实际 RPS</v>
      </c>
      <c r="D37" s="8" t="str">
        <f>"28 159"</f>
        <v>28 159</v>
      </c>
      <c r="E37" s="8" t="str">
        <f>"28 155"</f>
        <v>28 155</v>
      </c>
      <c r="F37" s="8" t="str">
        <f>"吞吐相当"</f>
        <v>吞吐相当</v>
      </c>
      <c r="G37" s="8" t="str">
        <f>""</f>
        <v/>
      </c>
      <c r="H37" s="8" t="str">
        <f>""</f>
        <v/>
      </c>
      <c r="I37" s="7" t="str">
        <f>""</f>
        <v/>
      </c>
      <c r="J37" s="8" t="str">
        <f>""</f>
        <v/>
      </c>
      <c r="K37" s="7" t="str">
        <f>""</f>
        <v/>
      </c>
      <c r="L37" s="7" t="str">
        <f>""</f>
        <v/>
      </c>
      <c r="M37" s="8" t="str">
        <f>""</f>
        <v/>
      </c>
    </row>
    <row r="38" spans="1:13" x14ac:dyDescent="0.25">
      <c r="A38" s="7" t="str">
        <f>"2"</f>
        <v>2</v>
      </c>
      <c r="B38" s="8" t="str">
        <f>"CMP-002"</f>
        <v>CMP-002</v>
      </c>
      <c r="C38" s="8" t="str">
        <f>"延迟 med (ms)"</f>
        <v>延迟 med (ms)</v>
      </c>
      <c r="D38" s="8" t="str">
        <f>"0.69"</f>
        <v>0.69</v>
      </c>
      <c r="E38" s="8" t="str">
        <f>"5.60"</f>
        <v>5.60</v>
      </c>
      <c r="F38" s="8" t="str">
        <f>"生产 order 路径明显更低"</f>
        <v>生产 order 路径明显更低</v>
      </c>
      <c r="G38" s="8" t="str">
        <f>""</f>
        <v/>
      </c>
      <c r="H38" s="8" t="str">
        <f>""</f>
        <v/>
      </c>
      <c r="I38" s="7" t="str">
        <f>""</f>
        <v/>
      </c>
      <c r="J38" s="8" t="str">
        <f>""</f>
        <v/>
      </c>
      <c r="K38" s="7" t="str">
        <f>""</f>
        <v/>
      </c>
      <c r="L38" s="7" t="str">
        <f>""</f>
        <v/>
      </c>
      <c r="M38" s="8" t="str">
        <f>""</f>
        <v/>
      </c>
    </row>
    <row r="39" spans="1:13" x14ac:dyDescent="0.25">
      <c r="A39" s="7" t="str">
        <f>"3"</f>
        <v>3</v>
      </c>
      <c r="B39" s="8" t="str">
        <f>"CMP-003"</f>
        <v>CMP-003</v>
      </c>
      <c r="C39" s="8" t="str">
        <f>"延迟 p99 (ms)"</f>
        <v>延迟 p99 (ms)</v>
      </c>
      <c r="D39" s="8" t="str">
        <f>"64.81"</f>
        <v>64.81</v>
      </c>
      <c r="E39" s="8" t="str">
        <f>"135.72"</f>
        <v>135.72</v>
      </c>
      <c r="F39" s="8" t="str">
        <f>"order 尾延迟更优"</f>
        <v>order 尾延迟更优</v>
      </c>
      <c r="G39" s="8" t="str">
        <f>""</f>
        <v/>
      </c>
      <c r="H39" s="8" t="str">
        <f>""</f>
        <v/>
      </c>
      <c r="I39" s="7" t="str">
        <f>""</f>
        <v/>
      </c>
      <c r="J39" s="8" t="str">
        <f>""</f>
        <v/>
      </c>
      <c r="K39" s="7" t="str">
        <f>""</f>
        <v/>
      </c>
      <c r="L39" s="7" t="str">
        <f>""</f>
        <v/>
      </c>
      <c r="M39" s="8" t="str">
        <f>""</f>
        <v/>
      </c>
    </row>
    <row r="40" spans="1:13" x14ac:dyDescent="0.25">
      <c r="A40" s="7" t="str">
        <f>"4"</f>
        <v>4</v>
      </c>
      <c r="B40" s="8" t="str">
        <f>"CMP-004"</f>
        <v>CMP-004</v>
      </c>
      <c r="C40" s="8" t="str">
        <f>"丢迭代"</f>
        <v>丢迭代</v>
      </c>
      <c r="D40" s="8" t="str">
        <f>"7 255"</f>
        <v>7 255</v>
      </c>
      <c r="E40" s="8" t="str">
        <f>"10 321"</f>
        <v>10 321</v>
      </c>
      <c r="F40" s="8" t="str">
        <f>"order 略优"</f>
        <v>order 略优</v>
      </c>
      <c r="G40" s="8" t="str">
        <f>""</f>
        <v/>
      </c>
      <c r="H40" s="8" t="str">
        <f>""</f>
        <v/>
      </c>
      <c r="I40" s="7" t="str">
        <f>""</f>
        <v/>
      </c>
      <c r="J40" s="8" t="str">
        <f>""</f>
        <v/>
      </c>
      <c r="K40" s="7" t="str">
        <f>""</f>
        <v/>
      </c>
      <c r="L40" s="7" t="str">
        <f>""</f>
        <v/>
      </c>
      <c r="M40" s="8" t="str">
        <f>""</f>
        <v/>
      </c>
    </row>
    <row r="41" spans="1:13" x14ac:dyDescent="0.25">
      <c r="A41" s="7" t="str">
        <f>""</f>
        <v/>
      </c>
      <c r="B41" s="8" t="str">
        <f>""</f>
        <v/>
      </c>
      <c r="C41" s="8" t="str">
        <f>""</f>
        <v/>
      </c>
      <c r="D41" s="8" t="str">
        <f>""</f>
        <v/>
      </c>
      <c r="E41" s="8" t="str">
        <f>""</f>
        <v/>
      </c>
      <c r="F41" s="8" t="str">
        <f>""</f>
        <v/>
      </c>
      <c r="G41" s="8" t="str">
        <f>""</f>
        <v/>
      </c>
      <c r="H41" s="8" t="str">
        <f>""</f>
        <v/>
      </c>
      <c r="I41" s="7" t="str">
        <f>""</f>
        <v/>
      </c>
      <c r="J41" s="8" t="str">
        <f>""</f>
        <v/>
      </c>
      <c r="K41" s="7" t="str">
        <f>""</f>
        <v/>
      </c>
      <c r="L41" s="7" t="str">
        <f>""</f>
        <v/>
      </c>
      <c r="M41" s="8" t="str">
        <f>""</f>
        <v/>
      </c>
    </row>
    <row r="42" spans="1:13" x14ac:dyDescent="0.25">
      <c r="A42" s="7" t="str">
        <f>"序号"</f>
        <v>序号</v>
      </c>
      <c r="B42" s="8" t="str">
        <f>"记录编号"</f>
        <v>记录编号</v>
      </c>
      <c r="C42" s="8" t="str">
        <f>"对比维度"</f>
        <v>对比维度</v>
      </c>
      <c r="D42" s="8" t="str">
        <f>"含 Scaler (STR-GW-001)"</f>
        <v>含 Scaler (STR-GW-001)</v>
      </c>
      <c r="E42" s="8" t="str">
        <f>"无 Scaler (STR-GW-002)"</f>
        <v>无 Scaler (STR-GW-002)</v>
      </c>
      <c r="F42" s="8" t="str">
        <f>"结论"</f>
        <v>结论</v>
      </c>
      <c r="G42" s="8" t="str">
        <f>""</f>
        <v/>
      </c>
      <c r="H42" s="8" t="str">
        <f>""</f>
        <v/>
      </c>
      <c r="I42" s="7" t="str">
        <f>""</f>
        <v/>
      </c>
      <c r="J42" s="8" t="str">
        <f>""</f>
        <v/>
      </c>
      <c r="K42" s="7" t="str">
        <f>""</f>
        <v/>
      </c>
      <c r="L42" s="7" t="str">
        <f>""</f>
        <v/>
      </c>
      <c r="M42" s="8" t="str">
        <f>""</f>
        <v/>
      </c>
    </row>
    <row r="43" spans="1:13" x14ac:dyDescent="0.25">
      <c r="A43" s="7" t="str">
        <f>"------"</f>
        <v>------</v>
      </c>
      <c r="B43" s="8" t="str">
        <f>"----------"</f>
        <v>----------</v>
      </c>
      <c r="C43" s="8" t="str">
        <f>"----------"</f>
        <v>----------</v>
      </c>
      <c r="D43" s="8" t="str">
        <f>"------------------------"</f>
        <v>------------------------</v>
      </c>
      <c r="E43" s="8" t="str">
        <f>"------------------------"</f>
        <v>------------------------</v>
      </c>
      <c r="F43" s="8" t="str">
        <f>"------"</f>
        <v>------</v>
      </c>
      <c r="G43" s="8" t="str">
        <f>""</f>
        <v/>
      </c>
      <c r="H43" s="8" t="str">
        <f>""</f>
        <v/>
      </c>
      <c r="I43" s="7" t="str">
        <f>""</f>
        <v/>
      </c>
      <c r="J43" s="8" t="str">
        <f>""</f>
        <v/>
      </c>
      <c r="K43" s="7" t="str">
        <f>""</f>
        <v/>
      </c>
      <c r="L43" s="7" t="str">
        <f>""</f>
        <v/>
      </c>
      <c r="M43" s="8" t="str">
        <f>""</f>
        <v/>
      </c>
    </row>
    <row r="44" spans="1:13" x14ac:dyDescent="0.25">
      <c r="A44" s="7" t="str">
        <f>"1"</f>
        <v>1</v>
      </c>
      <c r="B44" s="8" t="str">
        <f>"CMP-101"</f>
        <v>CMP-101</v>
      </c>
      <c r="C44" s="8" t="str">
        <f>"实际 RPS"</f>
        <v>实际 RPS</v>
      </c>
      <c r="D44" s="8" t="str">
        <f>"2000.1"</f>
        <v>2000.1</v>
      </c>
      <c r="E44" s="8" t="str">
        <f>"1992.4"</f>
        <v>1992.4</v>
      </c>
      <c r="F44" s="8" t="str">
        <f>"吞吐相当"</f>
        <v>吞吐相当</v>
      </c>
      <c r="G44" s="8" t="str">
        <f>""</f>
        <v/>
      </c>
      <c r="H44" s="8" t="str">
        <f>""</f>
        <v/>
      </c>
      <c r="I44" s="7" t="str">
        <f>""</f>
        <v/>
      </c>
      <c r="J44" s="8" t="str">
        <f>""</f>
        <v/>
      </c>
      <c r="K44" s="7" t="str">
        <f>""</f>
        <v/>
      </c>
      <c r="L44" s="7" t="str">
        <f>""</f>
        <v/>
      </c>
      <c r="M44" s="8" t="str">
        <f>""</f>
        <v/>
      </c>
    </row>
    <row r="45" spans="1:13" x14ac:dyDescent="0.25">
      <c r="A45" s="7" t="str">
        <f>"2"</f>
        <v>2</v>
      </c>
      <c r="B45" s="8" t="str">
        <f>"CMP-102"</f>
        <v>CMP-102</v>
      </c>
      <c r="C45" s="8" t="str">
        <f>"延迟 med (ms)"</f>
        <v>延迟 med (ms)</v>
      </c>
      <c r="D45" s="8" t="str">
        <f>"2.77"</f>
        <v>2.77</v>
      </c>
      <c r="E45" s="8" t="str">
        <f>"2.47"</f>
        <v>2.47</v>
      </c>
      <c r="F45" s="8" t="str">
        <f>"同量级"</f>
        <v>同量级</v>
      </c>
      <c r="G45" s="8" t="str">
        <f>""</f>
        <v/>
      </c>
      <c r="H45" s="8" t="str">
        <f>""</f>
        <v/>
      </c>
      <c r="I45" s="7" t="str">
        <f>""</f>
        <v/>
      </c>
      <c r="J45" s="8" t="str">
        <f>""</f>
        <v/>
      </c>
      <c r="K45" s="7" t="str">
        <f>""</f>
        <v/>
      </c>
      <c r="L45" s="7" t="str">
        <f>""</f>
        <v/>
      </c>
      <c r="M45" s="8" t="str">
        <f>""</f>
        <v/>
      </c>
    </row>
    <row r="46" spans="1:13" x14ac:dyDescent="0.25">
      <c r="A46" s="7" t="str">
        <f>"3"</f>
        <v>3</v>
      </c>
      <c r="B46" s="8" t="str">
        <f>"CMP-103"</f>
        <v>CMP-103</v>
      </c>
      <c r="C46" s="8" t="str">
        <f>"延迟 p99 (ms)"</f>
        <v>延迟 p99 (ms)</v>
      </c>
      <c r="D46" s="8" t="str">
        <f>"82.36"</f>
        <v>82.36</v>
      </c>
      <c r="E46" s="8" t="str">
        <f>"567.17"</f>
        <v>567.17</v>
      </c>
      <c r="F46" s="8" t="str">
        <f>"noscaler 尾延迟更高"</f>
        <v>noscaler 尾延迟更高</v>
      </c>
      <c r="G46" s="8" t="str">
        <f>""</f>
        <v/>
      </c>
      <c r="H46" s="8" t="str">
        <f>""</f>
        <v/>
      </c>
      <c r="I46" s="7" t="str">
        <f>""</f>
        <v/>
      </c>
      <c r="J46" s="8" t="str">
        <f>""</f>
        <v/>
      </c>
      <c r="K46" s="7" t="str">
        <f>""</f>
        <v/>
      </c>
      <c r="L46" s="7" t="str">
        <f>""</f>
        <v/>
      </c>
      <c r="M46" s="8" t="str">
        <f>""</f>
        <v/>
      </c>
    </row>
    <row r="47" spans="1:13" x14ac:dyDescent="0.25">
      <c r="A47" s="7" t="str">
        <f>"4"</f>
        <v>4</v>
      </c>
      <c r="B47" s="8" t="str">
        <f>"CMP-104"</f>
        <v>CMP-104</v>
      </c>
      <c r="C47" s="8" t="str">
        <f>"丢迭代"</f>
        <v>丢迭代</v>
      </c>
      <c r="D47" s="8" t="str">
        <f>"0"</f>
        <v>0</v>
      </c>
      <c r="E47" s="8" t="str">
        <f>"2760"</f>
        <v>2760</v>
      </c>
      <c r="F47" s="8" t="str">
        <f>"noscaler 略多"</f>
        <v>noscaler 略多</v>
      </c>
      <c r="G47" s="8" t="str">
        <f>""</f>
        <v/>
      </c>
      <c r="H47" s="8" t="str">
        <f>""</f>
        <v/>
      </c>
      <c r="I47" s="7" t="str">
        <f>""</f>
        <v/>
      </c>
      <c r="J47" s="8" t="str">
        <f>""</f>
        <v/>
      </c>
      <c r="K47" s="7" t="str">
        <f>""</f>
        <v/>
      </c>
      <c r="L47" s="7" t="str">
        <f>""</f>
        <v/>
      </c>
      <c r="M47" s="8" t="str">
        <f>""</f>
        <v/>
      </c>
    </row>
    <row r="48" spans="1:13" ht="15" customHeight="1" x14ac:dyDescent="0.25">
      <c r="A48" s="7" t="str">
        <f>"5"</f>
        <v>5</v>
      </c>
      <c r="B48" s="8" t="str">
        <f>"CMP-105"</f>
        <v>CMP-105</v>
      </c>
      <c r="C48" s="8" t="str">
        <f>"Scaler 扩容"</f>
        <v>Scaler 扩容</v>
      </c>
      <c r="D48" s="8" t="str">
        <f>"3→5（monitor 轮次 B/C）"</f>
        <v>3→5（monitor 轮次 B/C）</v>
      </c>
      <c r="E48" s="8" t="str">
        <f>"无"</f>
        <v>无</v>
      </c>
      <c r="F48" s="8" t="str">
        <f>"开 Scaler 可自动扩 order；修复 bug 后业务 100%"</f>
        <v>开 Scaler 可自动扩 order；修复 bug 后业务 100%</v>
      </c>
      <c r="G48" s="8" t="str">
        <f>""</f>
        <v/>
      </c>
      <c r="H48" s="8" t="str">
        <f>""</f>
        <v/>
      </c>
      <c r="I48" s="7" t="str">
        <f>""</f>
        <v/>
      </c>
      <c r="J48" s="8" t="str">
        <f>""</f>
        <v/>
      </c>
      <c r="K48" s="7" t="str">
        <f>""</f>
        <v/>
      </c>
      <c r="L48" s="7" t="str">
        <f>""</f>
        <v/>
      </c>
      <c r="M48" s="8" t="str">
        <f>""</f>
        <v/>
      </c>
    </row>
    <row r="49" spans="1:13" x14ac:dyDescent="0.25">
      <c r="A49" s="7" t="str">
        <f>""</f>
        <v/>
      </c>
      <c r="B49" s="8" t="str">
        <f>""</f>
        <v/>
      </c>
      <c r="C49" s="8" t="str">
        <f>""</f>
        <v/>
      </c>
      <c r="D49" s="8" t="str">
        <f>""</f>
        <v/>
      </c>
      <c r="E49" s="8" t="str">
        <f>""</f>
        <v/>
      </c>
      <c r="F49" s="8" t="str">
        <f>""</f>
        <v/>
      </c>
      <c r="G49" s="8" t="str">
        <f>""</f>
        <v/>
      </c>
      <c r="H49" s="8" t="str">
        <f>""</f>
        <v/>
      </c>
      <c r="I49" s="7" t="str">
        <f>""</f>
        <v/>
      </c>
      <c r="J49" s="8" t="str">
        <f>""</f>
        <v/>
      </c>
      <c r="K49" s="7" t="str">
        <f>""</f>
        <v/>
      </c>
      <c r="L49" s="7" t="str">
        <f>""</f>
        <v/>
      </c>
      <c r="M49" s="8" t="str">
        <f>""</f>
        <v/>
      </c>
    </row>
    <row r="50" spans="1:13" x14ac:dyDescent="0.25">
      <c r="A50" s="8" t="str">
        <f>"序号"</f>
        <v>序号</v>
      </c>
      <c r="B50" s="8" t="str">
        <f>"记录编号"</f>
        <v>记录编号</v>
      </c>
      <c r="C50" s="8" t="str">
        <f>"问题现象"</f>
        <v>问题现象</v>
      </c>
      <c r="D50" s="8" t="str">
        <f>"根因（已确认或推断）"</f>
        <v>根因（已确认或推断）</v>
      </c>
      <c r="E50" s="8" t="str">
        <f>"处理状态"</f>
        <v>处理状态</v>
      </c>
      <c r="F50" s="8" t="str">
        <f>""</f>
        <v/>
      </c>
      <c r="G50" s="8" t="str">
        <f>""</f>
        <v/>
      </c>
      <c r="H50" s="8" t="str">
        <f>""</f>
        <v/>
      </c>
      <c r="I50" s="8" t="str">
        <f>""</f>
        <v/>
      </c>
      <c r="J50" s="8" t="str">
        <f>""</f>
        <v/>
      </c>
      <c r="K50" s="8" t="str">
        <f>""</f>
        <v/>
      </c>
      <c r="L50" s="8" t="str">
        <f>""</f>
        <v/>
      </c>
      <c r="M50" s="8" t="str">
        <f>""</f>
        <v/>
      </c>
    </row>
    <row r="51" spans="1:13" x14ac:dyDescent="0.25">
      <c r="A51" s="8" t="str">
        <f>"------"</f>
        <v>------</v>
      </c>
      <c r="B51" s="8" t="str">
        <f>"----------"</f>
        <v>----------</v>
      </c>
      <c r="C51" s="8" t="str">
        <f>"----------"</f>
        <v>----------</v>
      </c>
      <c r="D51" s="8" t="str">
        <f>"----------------------"</f>
        <v>----------------------</v>
      </c>
      <c r="E51" s="8" t="str">
        <f>"----------"</f>
        <v>----------</v>
      </c>
      <c r="F51" s="8" t="str">
        <f>""</f>
        <v/>
      </c>
      <c r="G51" s="8" t="str">
        <f>""</f>
        <v/>
      </c>
      <c r="H51" s="8" t="str">
        <f>""</f>
        <v/>
      </c>
      <c r="I51" s="8" t="str">
        <f>""</f>
        <v/>
      </c>
      <c r="J51" s="8" t="str">
        <f>""</f>
        <v/>
      </c>
      <c r="K51" s="8" t="str">
        <f>""</f>
        <v/>
      </c>
      <c r="L51" s="8" t="str">
        <f>""</f>
        <v/>
      </c>
      <c r="M51" s="8" t="str">
        <f>""</f>
        <v/>
      </c>
    </row>
    <row r="52" spans="1:13" x14ac:dyDescent="0.25">
      <c r="A52" s="8" t="str">
        <f>"1"</f>
        <v>1</v>
      </c>
      <c r="B52" s="8" t="str">
        <f>"ISS-001"</f>
        <v>ISS-001</v>
      </c>
      <c r="C52" s="8" t="str">
        <f>"STR-GW-002 业务成功率 96.55%"</f>
        <v>STR-GW-002 业务成功率 96.55%</v>
      </c>
      <c r="D52" s="8" t="str">
        <f>"部分请求库存不足或风控/业务拒绝；非 HTTP 层失败"</f>
        <v>部分请求库存不足或风控/业务拒绝；非 HTTP 层失败</v>
      </c>
      <c r="E52" s="8" t="str">
        <f>"需结合 order 日志与 `CHECK_BUSINESS=1` 复测"</f>
        <v>需结合 order 日志与 `CHECK_BUSINESS=1` 复测</v>
      </c>
      <c r="F52" s="8" t="str">
        <f>""</f>
        <v/>
      </c>
      <c r="G52" s="8" t="str">
        <f>""</f>
        <v/>
      </c>
      <c r="H52" s="8" t="str">
        <f>""</f>
        <v/>
      </c>
      <c r="I52" s="8" t="str">
        <f>""</f>
        <v/>
      </c>
      <c r="J52" s="8" t="str">
        <f>""</f>
        <v/>
      </c>
      <c r="K52" s="8" t="str">
        <f>""</f>
        <v/>
      </c>
      <c r="L52" s="8" t="str">
        <f>""</f>
        <v/>
      </c>
      <c r="M52" s="8" t="str">
        <f>""</f>
        <v/>
      </c>
    </row>
    <row r="53" spans="1:13" x14ac:dyDescent="0.25">
      <c r="A53" s="8" t="str">
        <f>"2"</f>
        <v>2</v>
      </c>
      <c r="B53" s="8" t="str">
        <f>"ISS-002"</f>
        <v>ISS-002</v>
      </c>
      <c r="C53" s="8" t="str">
        <f>"STR-DKR-001/002 大量丢迭代"</f>
        <v>STR-DKR-001/002 大量丢迭代</v>
      </c>
      <c r="D53" s="8" t="str">
        <f>"k6 目标 RPS 超过单实例可处理能力"</f>
        <v>k6 目标 RPS 超过单实例可处理能力</v>
      </c>
      <c r="E53" s="8" t="str">
        <f>"容量测试应参考 STR-DKR-003 / STR-LOG 系列"</f>
        <v>容量测试应参考 STR-DKR-003 / STR-LOG 系列</v>
      </c>
      <c r="F53" s="8" t="str">
        <f>""</f>
        <v/>
      </c>
      <c r="G53" s="8" t="str">
        <f>""</f>
        <v/>
      </c>
      <c r="H53" s="8" t="str">
        <f>""</f>
        <v/>
      </c>
      <c r="I53" s="8" t="str">
        <f>""</f>
        <v/>
      </c>
      <c r="J53" s="8" t="str">
        <f>""</f>
        <v/>
      </c>
      <c r="K53" s="8" t="str">
        <f>""</f>
        <v/>
      </c>
      <c r="L53" s="8" t="str">
        <f>""</f>
        <v/>
      </c>
      <c r="M53" s="8" t="str">
        <f>""</f>
        <v/>
      </c>
    </row>
    <row r="54" spans="1:13" ht="30" x14ac:dyDescent="0.25">
      <c r="A54" s="8" t="str">
        <f>"3"</f>
        <v>3</v>
      </c>
      <c r="B54" s="8" t="str">
        <f>"ISS-003"</f>
        <v>ISS-003</v>
      </c>
      <c r="C54" s="8" t="str">
        <f>"Scaler 压测中途缩容风险"</f>
        <v>Scaler 压测中途缩容风险</v>
      </c>
      <c r="D54" s="8" t="str">
        <f>"JVM 指标偏低触发 debounce"</f>
        <v>JVM 指标偏低触发 debounce</v>
      </c>
      <c r="E54" s="8" t="str">
        <f>"已加 `docker-cpu-scale-down-block-threshold: 0.35`（见关联 monitor 文档）"</f>
        <v>已加 `docker-cpu-scale-down-block-threshold: 0.35`（见关联 monitor 文档）</v>
      </c>
      <c r="F54" s="8" t="str">
        <f>""</f>
        <v/>
      </c>
      <c r="G54" s="8" t="str">
        <f>""</f>
        <v/>
      </c>
      <c r="H54" s="8" t="str">
        <f>""</f>
        <v/>
      </c>
      <c r="I54" s="8" t="str">
        <f>""</f>
        <v/>
      </c>
      <c r="J54" s="8" t="str">
        <f>""</f>
        <v/>
      </c>
      <c r="K54" s="8" t="str">
        <f>""</f>
        <v/>
      </c>
      <c r="L54" s="8" t="str">
        <f>""</f>
        <v/>
      </c>
      <c r="M54" s="8" t="str">
        <f>""</f>
        <v/>
      </c>
    </row>
    <row r="55" spans="1:13" x14ac:dyDescent="0.25">
      <c r="A55" s="8" t="str">
        <f>""</f>
        <v/>
      </c>
      <c r="B55" s="8" t="str">
        <f>""</f>
        <v/>
      </c>
      <c r="C55" s="8" t="str">
        <f>""</f>
        <v/>
      </c>
      <c r="D55" s="8" t="str">
        <f>""</f>
        <v/>
      </c>
      <c r="E55" s="8" t="str">
        <f>""</f>
        <v/>
      </c>
      <c r="F55" s="8" t="str">
        <f>""</f>
        <v/>
      </c>
      <c r="G55" s="8" t="str">
        <f>""</f>
        <v/>
      </c>
      <c r="H55" s="8" t="str">
        <f>""</f>
        <v/>
      </c>
      <c r="I55" s="8" t="str">
        <f>""</f>
        <v/>
      </c>
      <c r="J55" s="8" t="str">
        <f>""</f>
        <v/>
      </c>
      <c r="K55" s="8" t="str">
        <f>""</f>
        <v/>
      </c>
      <c r="L55" s="8" t="str">
        <f>""</f>
        <v/>
      </c>
      <c r="M55" s="8" t="str">
        <f>""</f>
        <v/>
      </c>
    </row>
    <row r="56" spans="1:13" x14ac:dyDescent="0.25">
      <c r="A56" s="8" t="str">
        <f>"序号"</f>
        <v>序号</v>
      </c>
      <c r="B56" s="8" t="str">
        <f>"复现命令（PowerShell，在 `deploy` 目录）"</f>
        <v>复现命令（PowerShell，在 `deploy` 目录）</v>
      </c>
      <c r="C56" s="8" t="str">
        <f>"对应记录"</f>
        <v>对应记录</v>
      </c>
      <c r="D56" s="8" t="str">
        <f>""</f>
        <v/>
      </c>
      <c r="E56" s="8" t="str">
        <f>""</f>
        <v/>
      </c>
      <c r="F56" s="8" t="str">
        <f>""</f>
        <v/>
      </c>
      <c r="G56" s="8" t="str">
        <f>""</f>
        <v/>
      </c>
      <c r="H56" s="8" t="str">
        <f>""</f>
        <v/>
      </c>
      <c r="I56" s="8" t="str">
        <f>""</f>
        <v/>
      </c>
      <c r="J56" s="8" t="str">
        <f>""</f>
        <v/>
      </c>
      <c r="K56" s="8" t="str">
        <f>""</f>
        <v/>
      </c>
      <c r="L56" s="8" t="str">
        <f>""</f>
        <v/>
      </c>
      <c r="M56" s="8" t="str">
        <f>""</f>
        <v/>
      </c>
    </row>
    <row r="57" spans="1:13" x14ac:dyDescent="0.25">
      <c r="A57" s="8" t="str">
        <f>"------"</f>
        <v>------</v>
      </c>
      <c r="B57" s="8" t="str">
        <f>"------------------------------------------"</f>
        <v>------------------------------------------</v>
      </c>
      <c r="C57" s="8" t="str">
        <f>"----------"</f>
        <v>----------</v>
      </c>
      <c r="D57" s="8" t="str">
        <f>""</f>
        <v/>
      </c>
      <c r="E57" s="8" t="str">
        <f>""</f>
        <v/>
      </c>
      <c r="F57" s="8" t="str">
        <f>""</f>
        <v/>
      </c>
      <c r="G57" s="8" t="str">
        <f>""</f>
        <v/>
      </c>
      <c r="H57" s="8" t="str">
        <f>""</f>
        <v/>
      </c>
      <c r="I57" s="8" t="str">
        <f>""</f>
        <v/>
      </c>
      <c r="J57" s="8" t="str">
        <f>""</f>
        <v/>
      </c>
      <c r="K57" s="8" t="str">
        <f>""</f>
        <v/>
      </c>
      <c r="L57" s="8" t="str">
        <f>""</f>
        <v/>
      </c>
      <c r="M57" s="8" t="str">
        <f>""</f>
        <v/>
      </c>
    </row>
    <row r="58" spans="1:13" ht="30" x14ac:dyDescent="0.25">
      <c r="A58" s="8" t="str">
        <f>"1"</f>
        <v>1</v>
      </c>
      <c r="B58" s="8" t="s">
        <v>0</v>
      </c>
      <c r="C58" s="8" t="str">
        <f>"STR-GW-001 / 002（noscaler 时先 `docker stop singularity-scaler-0`）"</f>
        <v>STR-GW-001 / 002（noscaler 时先 `docker stop singularity-scaler-0`）</v>
      </c>
      <c r="D58" s="8" t="str">
        <f>""</f>
        <v/>
      </c>
      <c r="E58" s="8" t="str">
        <f>""</f>
        <v/>
      </c>
      <c r="F58" s="8" t="str">
        <f>""</f>
        <v/>
      </c>
      <c r="G58" s="8" t="str">
        <f>""</f>
        <v/>
      </c>
      <c r="H58" s="8" t="str">
        <f>""</f>
        <v/>
      </c>
      <c r="I58" s="8" t="str">
        <f>""</f>
        <v/>
      </c>
      <c r="J58" s="8" t="str">
        <f>""</f>
        <v/>
      </c>
      <c r="K58" s="8" t="str">
        <f>""</f>
        <v/>
      </c>
      <c r="L58" s="8" t="str">
        <f>""</f>
        <v/>
      </c>
      <c r="M58" s="8" t="str">
        <f>""</f>
        <v/>
      </c>
    </row>
    <row r="59" spans="1:13" x14ac:dyDescent="0.25">
      <c r="A59" s="8" t="str">
        <f>"2"</f>
        <v>2</v>
      </c>
      <c r="B59" s="8" t="str">
        <f>"`.\run-k6-order-load-one.cmd`（环境变量或 compose 配置目标 iters/s）"</f>
        <v>`.\run-k6-order-load-one.cmd`（环境变量或 compose 配置目标 iters/s）</v>
      </c>
      <c r="C59" s="8" t="str">
        <f>"STR-LOG-001～003"</f>
        <v>STR-LOG-001～003</v>
      </c>
      <c r="D59" s="8" t="str">
        <f>""</f>
        <v/>
      </c>
      <c r="E59" s="8" t="str">
        <f>""</f>
        <v/>
      </c>
      <c r="F59" s="8" t="str">
        <f>""</f>
        <v/>
      </c>
      <c r="G59" s="8" t="str">
        <f>""</f>
        <v/>
      </c>
      <c r="H59" s="8" t="str">
        <f>""</f>
        <v/>
      </c>
      <c r="I59" s="8" t="str">
        <f>""</f>
        <v/>
      </c>
      <c r="J59" s="8" t="str">
        <f>""</f>
        <v/>
      </c>
      <c r="K59" s="8" t="str">
        <f>""</f>
        <v/>
      </c>
      <c r="L59" s="8" t="str">
        <f>""</f>
        <v/>
      </c>
      <c r="M59" s="8" t="str">
        <f>""</f>
        <v/>
      </c>
    </row>
    <row r="60" spans="1:13" x14ac:dyDescent="0.25">
      <c r="A60" s="8" t="str">
        <f>"3"</f>
        <v>3</v>
      </c>
      <c r="B60" s="8" t="str">
        <f>"`.\probe-gateway-fraud-bottleneck.ps1 -Rps 2500 -DurationSec 30`"</f>
        <v>`.\probe-gateway-fraud-bottleneck.ps1 -Rps 2500 -DurationSec 30`</v>
      </c>
      <c r="C60" s="8" t="str">
        <f>"瓶颈 CPU 采样（汇总见 monitor 文档，非本目录文件）"</f>
        <v>瓶颈 CPU 采样（汇总见 monitor 文档，非本目录文件）</v>
      </c>
      <c r="D60" s="8" t="str">
        <f>""</f>
        <v/>
      </c>
      <c r="E60" s="8" t="str">
        <f>""</f>
        <v/>
      </c>
      <c r="F60" s="8" t="str">
        <f>""</f>
        <v/>
      </c>
      <c r="G60" s="8" t="str">
        <f>""</f>
        <v/>
      </c>
      <c r="H60" s="8" t="str">
        <f>""</f>
        <v/>
      </c>
      <c r="I60" s="8" t="str">
        <f>""</f>
        <v/>
      </c>
      <c r="J60" s="8" t="str">
        <f>""</f>
        <v/>
      </c>
      <c r="K60" s="8" t="str">
        <f>""</f>
        <v/>
      </c>
      <c r="L60" s="8" t="str">
        <f>""</f>
        <v/>
      </c>
      <c r="M60" s="8" t="str">
        <f>""</f>
        <v/>
      </c>
    </row>
    <row r="61" spans="1:13" x14ac:dyDescent="0.25">
      <c r="A61" s="8" t="str">
        <f>""</f>
        <v/>
      </c>
      <c r="B61" s="8" t="str">
        <f>""</f>
        <v/>
      </c>
      <c r="C61" s="8" t="str">
        <f>""</f>
        <v/>
      </c>
      <c r="D61" s="8" t="str">
        <f>""</f>
        <v/>
      </c>
      <c r="E61" s="8" t="str">
        <f>""</f>
        <v/>
      </c>
      <c r="F61" s="8" t="str">
        <f>""</f>
        <v/>
      </c>
      <c r="G61" s="8" t="str">
        <f>""</f>
        <v/>
      </c>
      <c r="H61" s="8" t="str">
        <f>""</f>
        <v/>
      </c>
      <c r="I61" s="8" t="str">
        <f>""</f>
        <v/>
      </c>
      <c r="J61" s="8" t="str">
        <f>""</f>
        <v/>
      </c>
      <c r="K61" s="8" t="str">
        <f>""</f>
        <v/>
      </c>
      <c r="L61" s="8" t="str">
        <f>""</f>
        <v/>
      </c>
      <c r="M61" s="8" t="str">
        <f>""</f>
        <v/>
      </c>
    </row>
    <row r="62" spans="1:13" x14ac:dyDescent="0.25">
      <c r="A62" s="8" t="str">
        <f>"序号"</f>
        <v>序号</v>
      </c>
      <c r="B62" s="8" t="str">
        <f>"瓶颈结论（基于本目录 + monitor 交叉验证）"</f>
        <v>瓶颈结论（基于本目录 + monitor 交叉验证）</v>
      </c>
      <c r="C62" s="8" t="str">
        <f>"依据"</f>
        <v>依据</v>
      </c>
      <c r="D62" s="8" t="str">
        <f>""</f>
        <v/>
      </c>
      <c r="E62" s="8" t="str">
        <f>""</f>
        <v/>
      </c>
      <c r="F62" s="8" t="str">
        <f>""</f>
        <v/>
      </c>
      <c r="G62" s="8" t="str">
        <f>""</f>
        <v/>
      </c>
      <c r="H62" s="8" t="str">
        <f>""</f>
        <v/>
      </c>
      <c r="I62" s="8" t="str">
        <f>""</f>
        <v/>
      </c>
      <c r="J62" s="8" t="str">
        <f>""</f>
        <v/>
      </c>
      <c r="K62" s="8" t="str">
        <f>""</f>
        <v/>
      </c>
      <c r="L62" s="8" t="str">
        <f>""</f>
        <v/>
      </c>
      <c r="M62" s="8" t="str">
        <f>""</f>
        <v/>
      </c>
    </row>
    <row r="63" spans="1:13" x14ac:dyDescent="0.25">
      <c r="A63" s="8" t="str">
        <f>"------"</f>
        <v>------</v>
      </c>
      <c r="B63" s="8" t="str">
        <f>"------------------------------------------"</f>
        <v>------------------------------------------</v>
      </c>
      <c r="C63" s="8" t="str">
        <f>"------"</f>
        <v>------</v>
      </c>
      <c r="D63" s="8" t="str">
        <f>""</f>
        <v/>
      </c>
      <c r="E63" s="8" t="str">
        <f>""</f>
        <v/>
      </c>
      <c r="F63" s="8" t="str">
        <f>""</f>
        <v/>
      </c>
      <c r="G63" s="8" t="str">
        <f>""</f>
        <v/>
      </c>
      <c r="H63" s="8" t="str">
        <f>""</f>
        <v/>
      </c>
      <c r="I63" s="8" t="str">
        <f>""</f>
        <v/>
      </c>
      <c r="J63" s="8" t="str">
        <f>""</f>
        <v/>
      </c>
      <c r="K63" s="8" t="str">
        <f>""</f>
        <v/>
      </c>
      <c r="L63" s="8" t="str">
        <f>""</f>
        <v/>
      </c>
      <c r="M63" s="8" t="str">
        <f>""</f>
        <v/>
      </c>
    </row>
    <row r="64" spans="1:13" ht="30" x14ac:dyDescent="0.25">
      <c r="A64" s="8" t="str">
        <f>"1"</f>
        <v>1</v>
      </c>
      <c r="B64" s="8" t="str">
        <f>"最薄弱环：order 服务（Fraud SHA-256×8 + 事务）"</f>
        <v>最薄弱环：order 服务（Fraud SHA-256×8 + 事务）</v>
      </c>
      <c r="C64" s="8" t="str">
        <f>"STR-GW 全链路 RPS≈2k 时 5 副本 CPU 仍近 100%；STR-DKR-003 单实例 ~28k"</f>
        <v>STR-GW 全链路 RPS≈2k 时 5 副本 CPU 仍近 100%；STR-DKR-003 单实例 ~28k</v>
      </c>
      <c r="D64" s="8" t="str">
        <f>""</f>
        <v/>
      </c>
      <c r="E64" s="8" t="str">
        <f>""</f>
        <v/>
      </c>
      <c r="F64" s="8" t="str">
        <f>""</f>
        <v/>
      </c>
      <c r="G64" s="8" t="str">
        <f>""</f>
        <v/>
      </c>
      <c r="H64" s="8" t="str">
        <f>""</f>
        <v/>
      </c>
      <c r="I64" s="8" t="str">
        <f>""</f>
        <v/>
      </c>
      <c r="J64" s="8" t="str">
        <f>""</f>
        <v/>
      </c>
      <c r="K64" s="8" t="str">
        <f>""</f>
        <v/>
      </c>
      <c r="L64" s="8" t="str">
        <f>""</f>
        <v/>
      </c>
      <c r="M64" s="8" t="str">
        <f>""</f>
        <v/>
      </c>
    </row>
    <row r="65" spans="1:13" x14ac:dyDescent="0.25">
      <c r="A65" s="8" t="str">
        <f>"2"</f>
        <v>2</v>
      </c>
      <c r="B65" s="8" t="str">
        <f>"次薄弱环：gateway 单实例"</f>
        <v>次薄弱环：gateway 单实例</v>
      </c>
      <c r="C65" s="8" t="str">
        <f>"monitor 报告 2500 RPS 时 gateway CPU 148%～170%"</f>
        <v>monitor 报告 2500 RPS 时 gateway CPU 148%～170%</v>
      </c>
      <c r="D65" s="8" t="str">
        <f>""</f>
        <v/>
      </c>
      <c r="E65" s="8" t="str">
        <f>""</f>
        <v/>
      </c>
      <c r="F65" s="8" t="str">
        <f>""</f>
        <v/>
      </c>
      <c r="G65" s="8" t="str">
        <f>""</f>
        <v/>
      </c>
      <c r="H65" s="8" t="str">
        <f>""</f>
        <v/>
      </c>
      <c r="I65" s="8" t="str">
        <f>""</f>
        <v/>
      </c>
      <c r="J65" s="8" t="str">
        <f>""</f>
        <v/>
      </c>
      <c r="K65" s="8" t="str">
        <f>""</f>
        <v/>
      </c>
      <c r="L65" s="8" t="str">
        <f>""</f>
        <v/>
      </c>
      <c r="M65" s="8" t="str">
        <f>""</f>
        <v/>
      </c>
    </row>
    <row r="66" spans="1:13" x14ac:dyDescent="0.25">
      <c r="A66" s="8" t="str">
        <f>"3"</f>
        <v>3</v>
      </c>
      <c r="B66" s="8" t="str">
        <f>"Redis / RocketMQ 非瓶颈"</f>
        <v>Redis / RocketMQ 非瓶颈</v>
      </c>
      <c r="C66" s="8" t="str">
        <f>"压测期 Redis CPU ~18%；MQ 无显著升高"</f>
        <v>压测期 Redis CPU ~18%；MQ 无显著升高</v>
      </c>
      <c r="D66" s="8" t="str">
        <f>""</f>
        <v/>
      </c>
      <c r="E66" s="8" t="str">
        <f>""</f>
        <v/>
      </c>
      <c r="F66" s="8" t="str">
        <f>""</f>
        <v/>
      </c>
      <c r="G66" s="8" t="str">
        <f>""</f>
        <v/>
      </c>
      <c r="H66" s="8" t="str">
        <f>""</f>
        <v/>
      </c>
      <c r="I66" s="8" t="str">
        <f>""</f>
        <v/>
      </c>
      <c r="J66" s="8" t="str">
        <f>""</f>
        <v/>
      </c>
      <c r="K66" s="8" t="str">
        <f>""</f>
        <v/>
      </c>
      <c r="L66" s="8" t="str">
        <f>""</f>
        <v/>
      </c>
      <c r="M66" s="8" t="str">
        <f>""</f>
        <v/>
      </c>
    </row>
    <row r="67" spans="1:13" x14ac:dyDescent="0.25">
      <c r="A67" s="8" t="str">
        <f>"4"</f>
        <v>4</v>
      </c>
      <c r="B67" s="8" t="str">
        <f>"stock 不在同步热路径"</f>
        <v>stock 不在同步热路径</v>
      </c>
      <c r="C67" s="8" t="str">
        <f>"allocate 路径压测；库存异步 MQ 扣减"</f>
        <v>allocate 路径压测；库存异步 MQ 扣减</v>
      </c>
      <c r="D67" s="8" t="str">
        <f>""</f>
        <v/>
      </c>
      <c r="E67" s="8" t="str">
        <f>""</f>
        <v/>
      </c>
      <c r="F67" s="8" t="str">
        <f>""</f>
        <v/>
      </c>
      <c r="G67" s="8" t="str">
        <f>""</f>
        <v/>
      </c>
      <c r="H67" s="8" t="str">
        <f>""</f>
        <v/>
      </c>
      <c r="I67" s="8" t="str">
        <f>""</f>
        <v/>
      </c>
      <c r="J67" s="8" t="str">
        <f>""</f>
        <v/>
      </c>
      <c r="K67" s="8" t="str">
        <f>""</f>
        <v/>
      </c>
      <c r="L67" s="8" t="str">
        <f>""</f>
        <v/>
      </c>
      <c r="M67" s="8" t="str">
        <f>""</f>
        <v/>
      </c>
    </row>
    <row r="68" spans="1:13" x14ac:dyDescent="0.25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</row>
    <row r="69" spans="1:13" x14ac:dyDescent="0.25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</row>
    <row r="70" spans="1:13" x14ac:dyDescent="0.25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</row>
    <row r="71" spans="1:13" x14ac:dyDescent="0.25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</row>
    <row r="72" spans="1:13" x14ac:dyDescent="0.25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</row>
    <row r="73" spans="1:13" x14ac:dyDescent="0.25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</row>
    <row r="74" spans="1:13" x14ac:dyDescent="0.25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</row>
    <row r="75" spans="1:13" x14ac:dyDescent="0.25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</row>
    <row r="76" spans="1:13" x14ac:dyDescent="0.25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</row>
    <row r="77" spans="1:13" x14ac:dyDescent="0.25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</row>
    <row r="78" spans="1:13" x14ac:dyDescent="0.25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</row>
    <row r="79" spans="1:13" x14ac:dyDescent="0.25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</row>
    <row r="80" spans="1:13" x14ac:dyDescent="0.25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</row>
    <row r="81" spans="1:13" x14ac:dyDescent="0.25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</row>
  </sheetData>
  <mergeCells count="1">
    <mergeCell ref="A1:M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djfjcen</cp:lastModifiedBy>
  <dcterms:modified xsi:type="dcterms:W3CDTF">2026-05-27T14:06:11Z</dcterms:modified>
</cp:coreProperties>
</file>